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\Desktop\LISTAS PRECIOS VIEJAS\"/>
    </mc:Choice>
  </mc:AlternateContent>
  <xr:revisionPtr revIDLastSave="0" documentId="13_ncr:1_{53947857-6A84-4B76-A13A-8851B12739D8}" xr6:coauthVersionLast="47" xr6:coauthVersionMax="47" xr10:uidLastSave="{00000000-0000-0000-0000-000000000000}"/>
  <bookViews>
    <workbookView xWindow="-108" yWindow="-108" windowWidth="23256" windowHeight="12456" tabRatio="947" activeTab="9" xr2:uid="{00000000-000D-0000-FFFF-FFFF00000000}"/>
  </bookViews>
  <sheets>
    <sheet name="INFO " sheetId="10" r:id="rId1"/>
    <sheet name="Presupuesto" sheetId="9" r:id="rId2"/>
    <sheet name="Gatos Ancho 10mm" sheetId="1" r:id="rId3"/>
    <sheet name="Perros Ancho 10mm" sheetId="2" r:id="rId4"/>
    <sheet name="Ancho 15mm" sheetId="3" r:id="rId5"/>
    <sheet name="Ancho 20mm" sheetId="4" r:id="rId6"/>
    <sheet name="Ancho 25mm" sheetId="5" r:id="rId7"/>
    <sheet name="Ancho 30mm" sheetId="6" r:id="rId8"/>
    <sheet name="Ancho 40mm" sheetId="7" r:id="rId9"/>
    <sheet name="Ancho 50mm" sheetId="8" r:id="rId10"/>
  </sheets>
  <externalReferences>
    <externalReference r:id="rId11"/>
    <externalReference r:id="rId12"/>
    <externalReference r:id="rId13"/>
    <externalReference r:id="rId14"/>
  </externalReferences>
  <definedNames>
    <definedName name="Z_CFC743F2_25E8_43CF_9095_7ADDAA5393B2_.wvu.Cols" localSheetId="2" hidden="1">'Gatos Ancho 10mm'!$G:$W</definedName>
  </definedNames>
  <calcPr calcId="191029"/>
  <customWorkbookViews>
    <customWorkbookView name="CHAU FONDO" guid="{CFC743F2-25E8-43CF-9095-7ADDAA5393B2}" maximized="1" xWindow="-9" yWindow="-9" windowWidth="1938" windowHeight="1038" activeSheetId="1"/>
  </customWorkbookViews>
</workbook>
</file>

<file path=xl/calcChain.xml><?xml version="1.0" encoding="utf-8"?>
<calcChain xmlns="http://schemas.openxmlformats.org/spreadsheetml/2006/main">
  <c r="C53" i="2" l="1"/>
  <c r="C69" i="4"/>
  <c r="C38" i="5"/>
  <c r="C75" i="6"/>
  <c r="C23" i="8"/>
  <c r="C21" i="7"/>
  <c r="C24" i="8"/>
  <c r="C17" i="8"/>
  <c r="C16" i="8"/>
  <c r="C12" i="8"/>
  <c r="C11" i="8"/>
  <c r="C15" i="7"/>
  <c r="C14" i="7"/>
  <c r="C22" i="7"/>
  <c r="C9" i="7"/>
  <c r="C10" i="7"/>
  <c r="C54" i="2"/>
  <c r="C76" i="6"/>
  <c r="C66" i="6"/>
  <c r="C58" i="6"/>
  <c r="C50" i="6"/>
  <c r="C42" i="6"/>
  <c r="C34" i="6"/>
  <c r="C26" i="6"/>
  <c r="C18" i="6"/>
  <c r="C10" i="6"/>
  <c r="C39" i="5"/>
  <c r="C60" i="4"/>
  <c r="C30" i="4"/>
  <c r="C8" i="4"/>
  <c r="C66" i="3"/>
  <c r="E4" i="1"/>
  <c r="C29" i="5"/>
  <c r="C28" i="5"/>
  <c r="C24" i="5"/>
  <c r="C25" i="5"/>
  <c r="C26" i="5"/>
  <c r="C27" i="5"/>
  <c r="C20" i="9"/>
  <c r="C67" i="3"/>
  <c r="C51" i="3"/>
  <c r="C50" i="3"/>
  <c r="C49" i="3"/>
  <c r="C48" i="3"/>
  <c r="C46" i="3"/>
  <c r="C45" i="3"/>
  <c r="C44" i="3"/>
  <c r="C43" i="3"/>
  <c r="C41" i="3"/>
  <c r="C40" i="3"/>
  <c r="C39" i="3"/>
  <c r="C23" i="3"/>
  <c r="C22" i="3"/>
  <c r="C21" i="3"/>
  <c r="C20" i="3"/>
  <c r="C19" i="3"/>
  <c r="C17" i="3"/>
  <c r="C16" i="3"/>
  <c r="C15" i="3"/>
  <c r="C14" i="3"/>
  <c r="C12" i="3"/>
  <c r="C11" i="3"/>
  <c r="C10" i="3"/>
  <c r="C42" i="2"/>
  <c r="C41" i="2"/>
  <c r="C40" i="2"/>
  <c r="C38" i="2"/>
  <c r="C37" i="2"/>
  <c r="C36" i="2"/>
  <c r="C34" i="2"/>
  <c r="C33" i="2"/>
  <c r="C32" i="2"/>
  <c r="C30" i="2"/>
  <c r="C29" i="2"/>
  <c r="C28" i="2"/>
  <c r="C26" i="2"/>
  <c r="C25" i="2"/>
  <c r="C24" i="2"/>
  <c r="C22" i="2"/>
  <c r="C21" i="2"/>
  <c r="C20" i="2"/>
  <c r="C18" i="2"/>
  <c r="C17" i="2"/>
  <c r="C16" i="2"/>
  <c r="C14" i="2"/>
  <c r="C13" i="2"/>
  <c r="C12" i="2"/>
  <c r="C10" i="2"/>
  <c r="C9" i="2"/>
  <c r="C8" i="2"/>
  <c r="C4" i="2"/>
  <c r="C5" i="2"/>
  <c r="C6" i="2"/>
  <c r="D48" i="2"/>
  <c r="C32" i="5" l="1"/>
  <c r="C31" i="5"/>
  <c r="C60" i="3"/>
  <c r="C59" i="3"/>
  <c r="C47" i="2"/>
  <c r="C46" i="2"/>
  <c r="C45" i="2"/>
  <c r="C44" i="2"/>
  <c r="C16" i="5" l="1"/>
  <c r="C17" i="5"/>
  <c r="C18" i="5"/>
  <c r="C19" i="5"/>
  <c r="C20" i="5"/>
  <c r="C21" i="5"/>
  <c r="C22" i="5"/>
  <c r="C21" i="9" l="1"/>
  <c r="C44" i="1"/>
  <c r="C42" i="1"/>
  <c r="C40" i="1"/>
  <c r="C38" i="1"/>
  <c r="C36" i="1"/>
  <c r="C34" i="1"/>
  <c r="C32" i="1"/>
  <c r="C30" i="1"/>
  <c r="C28" i="1"/>
  <c r="C26" i="1"/>
  <c r="C24" i="1"/>
  <c r="C22" i="1"/>
  <c r="C20" i="1"/>
  <c r="C18" i="1"/>
  <c r="C14" i="1"/>
  <c r="C12" i="1"/>
  <c r="C10" i="1"/>
  <c r="C57" i="3"/>
  <c r="C56" i="3"/>
  <c r="C55" i="3"/>
  <c r="C54" i="3"/>
  <c r="C53" i="3"/>
  <c r="C15" i="8"/>
  <c r="C14" i="8"/>
  <c r="C4" i="8"/>
  <c r="C10" i="8"/>
  <c r="C9" i="8"/>
  <c r="C8" i="8"/>
  <c r="C7" i="8"/>
  <c r="C6" i="8"/>
  <c r="C5" i="8"/>
  <c r="C13" i="7"/>
  <c r="C12" i="7"/>
  <c r="C4" i="7"/>
  <c r="C5" i="7"/>
  <c r="C6" i="7"/>
  <c r="C7" i="7"/>
  <c r="C8" i="7"/>
  <c r="C37" i="3"/>
  <c r="C36" i="3"/>
  <c r="E36" i="3" s="1"/>
  <c r="C35" i="3"/>
  <c r="C34" i="3"/>
  <c r="C33" i="3"/>
  <c r="C32" i="3"/>
  <c r="C30" i="3"/>
  <c r="C29" i="3"/>
  <c r="C28" i="3"/>
  <c r="C27" i="3"/>
  <c r="C26" i="3"/>
  <c r="C25" i="3"/>
  <c r="C8" i="3"/>
  <c r="C7" i="3"/>
  <c r="C6" i="3"/>
  <c r="C5" i="3"/>
  <c r="C4" i="3"/>
  <c r="C53" i="4"/>
  <c r="C52" i="4"/>
  <c r="C51" i="4"/>
  <c r="C50" i="4"/>
  <c r="C49" i="4"/>
  <c r="C47" i="4"/>
  <c r="C46" i="4"/>
  <c r="C45" i="4"/>
  <c r="C44" i="4"/>
  <c r="C23" i="4"/>
  <c r="C22" i="4"/>
  <c r="C21" i="4"/>
  <c r="C20" i="4"/>
  <c r="C17" i="4"/>
  <c r="C16" i="4"/>
  <c r="C15" i="4"/>
  <c r="C18" i="4"/>
  <c r="C25" i="4" l="1"/>
  <c r="C26" i="4"/>
  <c r="C27" i="4"/>
  <c r="C28" i="4"/>
  <c r="C29" i="4"/>
  <c r="C36" i="4"/>
  <c r="C34" i="4"/>
  <c r="C35" i="4"/>
  <c r="C32" i="4"/>
  <c r="C33" i="4"/>
  <c r="C10" i="4"/>
  <c r="C11" i="4"/>
  <c r="C12" i="4"/>
  <c r="C13" i="4"/>
  <c r="C70" i="4"/>
  <c r="C63" i="4"/>
  <c r="C62" i="4"/>
  <c r="C55" i="4"/>
  <c r="C56" i="4"/>
  <c r="C57" i="4"/>
  <c r="C58" i="4"/>
  <c r="C59" i="4"/>
  <c r="C4" i="4"/>
  <c r="C5" i="4"/>
  <c r="C6" i="4"/>
  <c r="C7" i="4"/>
  <c r="C10" i="5"/>
  <c r="C11" i="5"/>
  <c r="C12" i="5"/>
  <c r="C13" i="5"/>
  <c r="E13" i="5" s="1"/>
  <c r="C7" i="5"/>
  <c r="C14" i="5"/>
  <c r="C8" i="5"/>
  <c r="C69" i="6"/>
  <c r="C68" i="6"/>
  <c r="C60" i="6"/>
  <c r="C61" i="6"/>
  <c r="C62" i="6"/>
  <c r="C63" i="6"/>
  <c r="C64" i="6"/>
  <c r="C65" i="6"/>
  <c r="C52" i="6"/>
  <c r="C53" i="6"/>
  <c r="C54" i="6"/>
  <c r="C55" i="6"/>
  <c r="C56" i="6"/>
  <c r="C57" i="6"/>
  <c r="C49" i="6"/>
  <c r="C48" i="6"/>
  <c r="C47" i="6"/>
  <c r="C46" i="6"/>
  <c r="C45" i="6"/>
  <c r="C44" i="6"/>
  <c r="C20" i="6"/>
  <c r="C21" i="6"/>
  <c r="C22" i="6"/>
  <c r="C23" i="6"/>
  <c r="C24" i="6"/>
  <c r="C25" i="6"/>
  <c r="C28" i="6"/>
  <c r="C29" i="6"/>
  <c r="C30" i="6"/>
  <c r="C31" i="6"/>
  <c r="C32" i="6"/>
  <c r="C33" i="6"/>
  <c r="C4" i="6"/>
  <c r="C5" i="6"/>
  <c r="C6" i="6"/>
  <c r="C7" i="6"/>
  <c r="C8" i="6"/>
  <c r="C9" i="6"/>
  <c r="C36" i="6"/>
  <c r="C37" i="6"/>
  <c r="C38" i="6"/>
  <c r="C39" i="6"/>
  <c r="C40" i="6"/>
  <c r="C41" i="6"/>
  <c r="C12" i="6"/>
  <c r="C13" i="6"/>
  <c r="C16" i="6"/>
  <c r="C17" i="6"/>
  <c r="C14" i="6"/>
  <c r="C4" i="5"/>
  <c r="C5" i="5"/>
  <c r="C6" i="5"/>
  <c r="E12" i="5"/>
  <c r="C15" i="6" l="1"/>
  <c r="E32" i="3"/>
  <c r="E37" i="3"/>
  <c r="E35" i="3"/>
  <c r="E34" i="3"/>
  <c r="E33" i="3"/>
  <c r="E14" i="5"/>
  <c r="E11" i="5"/>
  <c r="E10" i="5"/>
  <c r="C16" i="1"/>
  <c r="C8" i="1"/>
  <c r="C6" i="1"/>
  <c r="E6" i="1" s="1"/>
  <c r="C42" i="4"/>
  <c r="E42" i="4" s="1"/>
  <c r="C41" i="4"/>
  <c r="C40" i="4"/>
  <c r="C39" i="4"/>
  <c r="C38" i="4"/>
  <c r="E57" i="3"/>
  <c r="E56" i="3"/>
  <c r="E55" i="3"/>
  <c r="E54" i="3"/>
  <c r="E53" i="3"/>
  <c r="D45" i="1"/>
  <c r="E63" i="4" l="1"/>
  <c r="E62" i="4"/>
  <c r="E60" i="4"/>
  <c r="E59" i="4"/>
  <c r="E58" i="4"/>
  <c r="E57" i="4"/>
  <c r="E56" i="4"/>
  <c r="E55" i="4"/>
  <c r="E53" i="4"/>
  <c r="E52" i="4"/>
  <c r="E51" i="4"/>
  <c r="E50" i="4"/>
  <c r="E49" i="4"/>
  <c r="E47" i="4"/>
  <c r="E46" i="4"/>
  <c r="E45" i="4"/>
  <c r="E44" i="4"/>
  <c r="E41" i="4"/>
  <c r="E40" i="4"/>
  <c r="E39" i="4"/>
  <c r="E38" i="4"/>
  <c r="E36" i="4"/>
  <c r="E35" i="4"/>
  <c r="E34" i="4"/>
  <c r="E33" i="4"/>
  <c r="E32" i="4"/>
  <c r="E30" i="4"/>
  <c r="E29" i="4"/>
  <c r="E28" i="4"/>
  <c r="E27" i="4"/>
  <c r="E26" i="4"/>
  <c r="E25" i="4"/>
  <c r="E23" i="4"/>
  <c r="E22" i="4"/>
  <c r="E21" i="4"/>
  <c r="E20" i="4"/>
  <c r="E18" i="4"/>
  <c r="E17" i="4"/>
  <c r="E16" i="4"/>
  <c r="E15" i="4"/>
  <c r="E13" i="4"/>
  <c r="E12" i="4"/>
  <c r="E11" i="4"/>
  <c r="E10" i="4"/>
  <c r="E8" i="4"/>
  <c r="E7" i="4"/>
  <c r="E6" i="4"/>
  <c r="E5" i="4"/>
  <c r="E4" i="4"/>
  <c r="E60" i="3"/>
  <c r="E59" i="3"/>
  <c r="E51" i="3"/>
  <c r="E50" i="3"/>
  <c r="E49" i="3"/>
  <c r="E48" i="3"/>
  <c r="E46" i="3"/>
  <c r="E45" i="3"/>
  <c r="E44" i="3"/>
  <c r="E43" i="3"/>
  <c r="E41" i="3"/>
  <c r="E40" i="3"/>
  <c r="E39" i="3"/>
  <c r="E30" i="3"/>
  <c r="E29" i="3"/>
  <c r="E28" i="3"/>
  <c r="E27" i="3"/>
  <c r="E26" i="3"/>
  <c r="E25" i="3"/>
  <c r="E23" i="3"/>
  <c r="E22" i="3"/>
  <c r="E21" i="3"/>
  <c r="E20" i="3"/>
  <c r="E19" i="3"/>
  <c r="E17" i="3"/>
  <c r="E16" i="3"/>
  <c r="E15" i="3"/>
  <c r="E14" i="3"/>
  <c r="E12" i="3"/>
  <c r="E11" i="3"/>
  <c r="E10" i="3"/>
  <c r="E8" i="3"/>
  <c r="E7" i="3"/>
  <c r="E6" i="3"/>
  <c r="E5" i="3"/>
  <c r="E4" i="3"/>
  <c r="E47" i="2"/>
  <c r="E46" i="2"/>
  <c r="E45" i="2"/>
  <c r="E44" i="2"/>
  <c r="E42" i="2"/>
  <c r="E41" i="2"/>
  <c r="E40" i="2"/>
  <c r="E38" i="2"/>
  <c r="E37" i="2"/>
  <c r="E36" i="2"/>
  <c r="E34" i="2"/>
  <c r="E33" i="2"/>
  <c r="E32" i="2"/>
  <c r="E30" i="2"/>
  <c r="E29" i="2"/>
  <c r="E28" i="2"/>
  <c r="E26" i="2"/>
  <c r="E25" i="2"/>
  <c r="E24" i="2"/>
  <c r="E22" i="2"/>
  <c r="E21" i="2"/>
  <c r="E20" i="2"/>
  <c r="E18" i="2"/>
  <c r="E17" i="2"/>
  <c r="E16" i="2"/>
  <c r="E14" i="2"/>
  <c r="E13" i="2"/>
  <c r="E12" i="2"/>
  <c r="E10" i="2"/>
  <c r="E9" i="2"/>
  <c r="E8" i="2"/>
  <c r="E6" i="2"/>
  <c r="E5" i="2"/>
  <c r="E4" i="2"/>
  <c r="E32" i="5"/>
  <c r="E31" i="5"/>
  <c r="E29" i="5"/>
  <c r="E28" i="5"/>
  <c r="E27" i="5"/>
  <c r="E26" i="5"/>
  <c r="E25" i="5"/>
  <c r="E24" i="5"/>
  <c r="E22" i="5"/>
  <c r="E21" i="5"/>
  <c r="E20" i="5"/>
  <c r="E19" i="5"/>
  <c r="E18" i="5"/>
  <c r="E17" i="5"/>
  <c r="E16" i="5"/>
  <c r="E8" i="5"/>
  <c r="E7" i="5"/>
  <c r="E6" i="5"/>
  <c r="E5" i="5"/>
  <c r="E4" i="5"/>
  <c r="E69" i="6"/>
  <c r="E68" i="6"/>
  <c r="E66" i="6"/>
  <c r="E65" i="6"/>
  <c r="E64" i="6"/>
  <c r="E63" i="6"/>
  <c r="E62" i="6"/>
  <c r="E61" i="6"/>
  <c r="E60" i="6"/>
  <c r="E58" i="6"/>
  <c r="E57" i="6"/>
  <c r="E56" i="6"/>
  <c r="E55" i="6"/>
  <c r="E54" i="6"/>
  <c r="E53" i="6"/>
  <c r="E52" i="6"/>
  <c r="E50" i="6"/>
  <c r="E49" i="6"/>
  <c r="E48" i="6"/>
  <c r="E47" i="6"/>
  <c r="E46" i="6"/>
  <c r="E45" i="6"/>
  <c r="E44" i="6"/>
  <c r="E42" i="6"/>
  <c r="E41" i="6"/>
  <c r="E40" i="6"/>
  <c r="E39" i="6"/>
  <c r="E38" i="6"/>
  <c r="E37" i="6"/>
  <c r="E36" i="6"/>
  <c r="E34" i="6"/>
  <c r="E33" i="6"/>
  <c r="E32" i="6"/>
  <c r="E31" i="6"/>
  <c r="E30" i="6"/>
  <c r="E29" i="6"/>
  <c r="E28" i="6"/>
  <c r="E26" i="6"/>
  <c r="E25" i="6"/>
  <c r="E24" i="6"/>
  <c r="E23" i="6"/>
  <c r="E22" i="6"/>
  <c r="E21" i="6"/>
  <c r="E20" i="6"/>
  <c r="E18" i="6"/>
  <c r="E17" i="6"/>
  <c r="E16" i="6"/>
  <c r="E15" i="6"/>
  <c r="E14" i="6"/>
  <c r="E13" i="6"/>
  <c r="E12" i="6"/>
  <c r="E10" i="6"/>
  <c r="E9" i="6"/>
  <c r="E8" i="6"/>
  <c r="E7" i="6"/>
  <c r="E6" i="6"/>
  <c r="E5" i="6"/>
  <c r="E4" i="6"/>
  <c r="C4" i="1"/>
  <c r="E48" i="2" l="1"/>
  <c r="E64" i="4"/>
  <c r="E8" i="1"/>
  <c r="E10" i="1"/>
  <c r="C10" i="9"/>
  <c r="E14" i="1"/>
  <c r="E12" i="1"/>
  <c r="E16" i="1"/>
  <c r="E18" i="1"/>
  <c r="E20" i="1"/>
  <c r="E22" i="1"/>
  <c r="E24" i="1"/>
  <c r="E26" i="1"/>
  <c r="E44" i="1"/>
  <c r="E42" i="1"/>
  <c r="E40" i="1"/>
  <c r="E38" i="1"/>
  <c r="E36" i="1"/>
  <c r="E34" i="1"/>
  <c r="E32" i="1"/>
  <c r="E30" i="1"/>
  <c r="E28" i="1"/>
  <c r="E45" i="1" l="1"/>
  <c r="E17" i="8" l="1"/>
  <c r="E16" i="8"/>
  <c r="E15" i="8"/>
  <c r="E14" i="8"/>
  <c r="E12" i="8"/>
  <c r="E11" i="8"/>
  <c r="E10" i="8"/>
  <c r="E9" i="8"/>
  <c r="E8" i="8"/>
  <c r="E7" i="8"/>
  <c r="E6" i="8"/>
  <c r="E4" i="8"/>
  <c r="E5" i="8"/>
  <c r="D18" i="8"/>
  <c r="C18" i="9" s="1"/>
  <c r="D25" i="8"/>
  <c r="C26" i="9" s="1"/>
  <c r="D23" i="7"/>
  <c r="C25" i="9" s="1"/>
  <c r="D70" i="6"/>
  <c r="C16" i="9" s="1"/>
  <c r="D64" i="4"/>
  <c r="C14" i="9" s="1"/>
  <c r="D61" i="3"/>
  <c r="C13" i="9" s="1"/>
  <c r="E23" i="8"/>
  <c r="E21" i="7"/>
  <c r="D83" i="6"/>
  <c r="C24" i="9" s="1"/>
  <c r="E75" i="6"/>
  <c r="E82" i="6"/>
  <c r="E81" i="6"/>
  <c r="E79" i="6"/>
  <c r="E78" i="6"/>
  <c r="E44" i="5"/>
  <c r="E45" i="5"/>
  <c r="D46" i="5"/>
  <c r="C23" i="9" s="1"/>
  <c r="E38" i="5"/>
  <c r="E42" i="5"/>
  <c r="E41" i="5"/>
  <c r="D77" i="4"/>
  <c r="C22" i="9" s="1"/>
  <c r="E69" i="4"/>
  <c r="E73" i="4"/>
  <c r="E72" i="4"/>
  <c r="E76" i="4"/>
  <c r="E75" i="4"/>
  <c r="D74" i="3"/>
  <c r="E66" i="3"/>
  <c r="E73" i="3"/>
  <c r="E72" i="3"/>
  <c r="E70" i="3"/>
  <c r="E69" i="3"/>
  <c r="D58" i="2"/>
  <c r="E53" i="2"/>
  <c r="E56" i="2"/>
  <c r="D16" i="7"/>
  <c r="C17" i="9" s="1"/>
  <c r="E23" i="7" l="1"/>
  <c r="D25" i="9" s="1"/>
  <c r="E25" i="8"/>
  <c r="D26" i="9" s="1"/>
  <c r="E77" i="4"/>
  <c r="D22" i="9" s="1"/>
  <c r="E18" i="8"/>
  <c r="D18" i="9" s="1"/>
  <c r="E83" i="6"/>
  <c r="D24" i="9" s="1"/>
  <c r="E46" i="5"/>
  <c r="D23" i="9" s="1"/>
  <c r="E74" i="3"/>
  <c r="D21" i="9" s="1"/>
  <c r="E57" i="2"/>
  <c r="E15" i="7"/>
  <c r="E14" i="7"/>
  <c r="E13" i="7"/>
  <c r="E12" i="7"/>
  <c r="E10" i="7"/>
  <c r="E9" i="7"/>
  <c r="E8" i="7"/>
  <c r="E7" i="7"/>
  <c r="E6" i="7"/>
  <c r="E5" i="7"/>
  <c r="E4" i="7"/>
  <c r="E58" i="2" l="1"/>
  <c r="D20" i="9" s="1"/>
  <c r="E16" i="7"/>
  <c r="D17" i="9" s="1"/>
  <c r="D33" i="5"/>
  <c r="C15" i="9" s="1"/>
  <c r="C12" i="9"/>
  <c r="E70" i="6" l="1"/>
  <c r="D16" i="9" s="1"/>
  <c r="D14" i="9"/>
  <c r="E61" i="3"/>
  <c r="D13" i="9" s="1"/>
  <c r="D12" i="9"/>
  <c r="E33" i="5" l="1"/>
  <c r="D15" i="9" s="1"/>
  <c r="D10" i="9"/>
  <c r="D28" i="9" l="1"/>
</calcChain>
</file>

<file path=xl/sharedStrings.xml><?xml version="1.0" encoding="utf-8"?>
<sst xmlns="http://schemas.openxmlformats.org/spreadsheetml/2006/main" count="975" uniqueCount="637">
  <si>
    <t>Codigo</t>
  </si>
  <si>
    <t>Producto</t>
  </si>
  <si>
    <t>Precio Unit</t>
  </si>
  <si>
    <t>Precio Total</t>
  </si>
  <si>
    <t>Cantidad</t>
  </si>
  <si>
    <t>Productos para PERROS</t>
  </si>
  <si>
    <t xml:space="preserve">COLLAR ANCHO 10 mm       </t>
  </si>
  <si>
    <t>Cod./Talle</t>
  </si>
  <si>
    <t>Colores de tu preferencia</t>
  </si>
  <si>
    <t xml:space="preserve">COLLAR CON MOÑO   10mm </t>
  </si>
  <si>
    <t>Cod.-Talle</t>
  </si>
  <si>
    <t>COLLAR LISO 10mm</t>
  </si>
  <si>
    <t>COLLAR TEXANO 10mm</t>
  </si>
  <si>
    <t xml:space="preserve">COLLAR PUAS 10mm       </t>
  </si>
  <si>
    <t xml:space="preserve">COLLAR MOÑO TELA C/STRASS  </t>
  </si>
  <si>
    <t xml:space="preserve">COLLAR GAMUZA PERLAS COLORES     </t>
  </si>
  <si>
    <t xml:space="preserve">COLLAR GAMUZA PERLAS COLORES                 </t>
  </si>
  <si>
    <t xml:space="preserve">COLLAR GAMUZA PERLAS COLORES                     </t>
  </si>
  <si>
    <t xml:space="preserve">COLLAR CORAZON      </t>
  </si>
  <si>
    <t xml:space="preserve">COLLAR SIMBOLO DE LA PAZ      </t>
  </si>
  <si>
    <t xml:space="preserve">COLLAR ANCHO 15 mm       </t>
  </si>
  <si>
    <t>COLLAR TACHAS STRASS 15mm</t>
  </si>
  <si>
    <t xml:space="preserve">COLLAR TACHAS STRASS 15mm                        </t>
  </si>
  <si>
    <t xml:space="preserve">COLLAR C/ PUAS 15mm     </t>
  </si>
  <si>
    <t xml:space="preserve">COLLAR PUAS Y TACHAS STRASS 15mm     </t>
  </si>
  <si>
    <t xml:space="preserve">COLLAR PUAS Y TACHAS STRASS 15mm                    </t>
  </si>
  <si>
    <t>COLLAR MINNIE MOUSE 15mm</t>
  </si>
  <si>
    <t xml:space="preserve">COLLAR MINNIE MOUSE 15mm               </t>
  </si>
  <si>
    <t>COLLAR NYLON FASHION 15mm</t>
  </si>
  <si>
    <t xml:space="preserve">COLLAR NYLON FASHION 15mm                         </t>
  </si>
  <si>
    <t xml:space="preserve">COLLAR NYLON FASHION 15mm                      </t>
  </si>
  <si>
    <t xml:space="preserve">COLLAR NYLON FASHION 15mm                          </t>
  </si>
  <si>
    <t xml:space="preserve">COLLAR STRASS C/DIJE COLGANTE REDONDO 15mm    </t>
  </si>
  <si>
    <t xml:space="preserve">COLLAR STRASS C/DIJE COLGANTE REDONDO 15mm                      </t>
  </si>
  <si>
    <t xml:space="preserve">COLLAR CON MOÑO BRILLOSO  15mm </t>
  </si>
  <si>
    <t>COLLAR NYLON LISO C/PASADOR CUERINA COLOR Y DIJE 15mm</t>
  </si>
  <si>
    <t xml:space="preserve">COLLAR NYLON LISO C/PASADOR CUERINA COLOR Y DIJE 15mm                     </t>
  </si>
  <si>
    <t>COLLAR AJUSTABLES 15mm     desde 20 hasta 40 cm</t>
  </si>
  <si>
    <t xml:space="preserve">COLLAR ANCHO 20 mm       </t>
  </si>
  <si>
    <t xml:space="preserve">COLLAR PUAS Y TACHAS STRASS 20mm     </t>
  </si>
  <si>
    <t xml:space="preserve">COLLAR PUAS Y TACHAS STRASS 20mm                      </t>
  </si>
  <si>
    <t>COLLAR TERCIOPELO C/LENTEJUELAS 20mm</t>
  </si>
  <si>
    <t xml:space="preserve">COLLAR TERCIOPELO C/LENTEJUELAS 20mm     </t>
  </si>
  <si>
    <t xml:space="preserve">COLLAR TERCIOPELO C/LENTEJUELAS 20mm                 </t>
  </si>
  <si>
    <t xml:space="preserve">COLLAR TERCIOPELO C/LENTEJUELAS 20mm              </t>
  </si>
  <si>
    <t>COLLAR TEXANO 20mm</t>
  </si>
  <si>
    <t xml:space="preserve">COLLAR TEXANO 20mm       </t>
  </si>
  <si>
    <t xml:space="preserve">COLLAR TEXANO 20mm                 </t>
  </si>
  <si>
    <t xml:space="preserve">COLLAR TEXANO 20mm             </t>
  </si>
  <si>
    <t xml:space="preserve">COLLAR POLIPROPILENO TEXANO 20 mm  </t>
  </si>
  <si>
    <t xml:space="preserve"> COLLAR POLIPROPILENO TEXANO 20mm  </t>
  </si>
  <si>
    <t xml:space="preserve">COLLAR PASADOR STRASS  20mm                   </t>
  </si>
  <si>
    <t xml:space="preserve">COLLAR PURPURINA C/ PASADORES Y CADENA 20mm               </t>
  </si>
  <si>
    <t xml:space="preserve">COLLAR PURPURINA C/ PASADORES Y CADENA 20mm                 </t>
  </si>
  <si>
    <t xml:space="preserve">COLLAR PURPURINA C/ PASADORES Y CADENA 20mm              </t>
  </si>
  <si>
    <t>COLLAR NYLON LISO C/PASADOR CUERINA COLOR Y DIJE 20mm</t>
  </si>
  <si>
    <t xml:space="preserve">COLLAR NYLON LISO C/PASADOR CUERINA COLOR Y DIJE 20mm                     </t>
  </si>
  <si>
    <t>COLLAR POLIESTER ESTAMPADO C/ DIJE 20mm</t>
  </si>
  <si>
    <t xml:space="preserve">COLLAR ESTAMPADO  20mm                    </t>
  </si>
  <si>
    <t>COLLAR NYLON FASHION 20mm</t>
  </si>
  <si>
    <t xml:space="preserve">COLLAR NYLON FASHION  20mm                    </t>
  </si>
  <si>
    <t>COLLAR AJUSTABLES 20 mm     desde 30 hasta 50 cm</t>
  </si>
  <si>
    <t xml:space="preserve">COLLAR AJUSTABLE ESTAMPADO  20mm                  </t>
  </si>
  <si>
    <t xml:space="preserve">COLLAR ANCHO 25 mm       </t>
  </si>
  <si>
    <t>COLLAR NYLON LISO C/ PASADOR CUERINA Y DIJE 25mm</t>
  </si>
  <si>
    <t xml:space="preserve">COLLAR NYLON LISO  C/ PASADOR CUERINA Y DIJE 25mm                     </t>
  </si>
  <si>
    <t xml:space="preserve">COLLAR ESTAMPADO  C/ PASADOR CUERINA Y DIJE 25mm                                  </t>
  </si>
  <si>
    <t xml:space="preserve">COLLAR NYLON MOSTACILLA MULTICOLOR  Y DIJE 25mm             </t>
  </si>
  <si>
    <t xml:space="preserve">COLLAR NYLON MOSTACILLA MULTICOLOR  Y DIJE 25mm                     </t>
  </si>
  <si>
    <t xml:space="preserve">COLLAR AJUSTABLE ESTAMPADO  25mm                  </t>
  </si>
  <si>
    <t>COLLAR NYLON TACHAS STRASS 30 mm</t>
  </si>
  <si>
    <t xml:space="preserve">COLLAR NYLON TEXANO 30 mm  </t>
  </si>
  <si>
    <t xml:space="preserve">COLLAR NYLON PUAS Y TACHAS STRASS 30 mm            </t>
  </si>
  <si>
    <t xml:space="preserve">COLLAR NYLON TACHAS CUADRADAS 30 mm  </t>
  </si>
  <si>
    <t>COLLAR NYLON FASHION 30 mm  NUEVO!!!</t>
  </si>
  <si>
    <t xml:space="preserve">COLLAR NYLON PUAS 30 mm </t>
  </si>
  <si>
    <t xml:space="preserve">COLLAR NYLON LISO C/ PASADOR CUERINA Y DIJE 30 mm     </t>
  </si>
  <si>
    <t xml:space="preserve">COLLAR NYLON ESTAMPADOS C/ PASADOR CUERINA Y DIJE 30 mm    </t>
  </si>
  <si>
    <t xml:space="preserve">COLLAR AJUSTABLE ESTAMPADO  30mm                  </t>
  </si>
  <si>
    <t>NOTAS:</t>
  </si>
  <si>
    <t>DATOS PARA COMPLETAR:</t>
  </si>
  <si>
    <t xml:space="preserve">E-mail: </t>
  </si>
  <si>
    <t xml:space="preserve">COLLAR CON MOÑO   10mm      </t>
  </si>
  <si>
    <t xml:space="preserve">COLLAR CON MOÑO   10mm    </t>
  </si>
  <si>
    <t xml:space="preserve">COLLAR CON MOÑO 10mm  </t>
  </si>
  <si>
    <t xml:space="preserve">COLLAR LISO 10mm        </t>
  </si>
  <si>
    <t xml:space="preserve">COLLAR LISO 10mm      </t>
  </si>
  <si>
    <t xml:space="preserve">Charol: negro-rojo-fucsia-francia / Simil Cuero Cosido: negro-plata-rosa-oro-turqueza-rojo-violeta -francia </t>
  </si>
  <si>
    <t xml:space="preserve"> Colores moño brillosos: oro-rosa-plata-negro-gris-rojo / Colores moño estampado cuadrille: fucsia-negro</t>
  </si>
  <si>
    <t>Colores en simil cuero cosido: negro-plata-oro-rojo -rosa-turqueza-francia</t>
  </si>
  <si>
    <t>COLLAR CON LETRAS STRASS 10mm</t>
  </si>
  <si>
    <t xml:space="preserve">COLLAR CON LETRAS STRASS 10mm          </t>
  </si>
  <si>
    <t xml:space="preserve">COLLAR CON LETRAS STRASS 10mm           </t>
  </si>
  <si>
    <t xml:space="preserve">COLLAR PUAS 10mm                </t>
  </si>
  <si>
    <t xml:space="preserve">COLLAR PUAS 10mm             </t>
  </si>
  <si>
    <t xml:space="preserve">Simil cuero cosido: negro-plata-oro-rosa-rojo-fluo-fucsia-francia / Print: leopardo-gris </t>
  </si>
  <si>
    <t>Simil cuero cosido: negro-plata-oro-rosa-rojo-fluo-fucsia-francia / Charol: negro-rojo-fucsia-francia</t>
  </si>
  <si>
    <t xml:space="preserve">COLLAR PUAS 10mm                                                 </t>
  </si>
  <si>
    <t>Colores Moño: rosa-fucsia</t>
  </si>
  <si>
    <t xml:space="preserve">COLLAR GARGANTILLA STRASS                      </t>
  </si>
  <si>
    <t xml:space="preserve">COLLAR GARGANTILLA STRASS                     </t>
  </si>
  <si>
    <t xml:space="preserve">COLLAR GARGANTILLA STRASS        </t>
  </si>
  <si>
    <t xml:space="preserve">COLLAR GAMUZA PERLAS COLORES           </t>
  </si>
  <si>
    <t>Gamuza: rojo-negro-francia-violeta-fucsia</t>
  </si>
  <si>
    <t xml:space="preserve">COLLAR CORAZON                     </t>
  </si>
  <si>
    <t xml:space="preserve">COLLAR CORAZON               </t>
  </si>
  <si>
    <t xml:space="preserve">COLLAR CORAZON          </t>
  </si>
  <si>
    <t xml:space="preserve">COLLAR SIMBOLO DE LA PAZ               </t>
  </si>
  <si>
    <t xml:space="preserve">COLLAR SIMBOLO DE LA PAZ          </t>
  </si>
  <si>
    <t xml:space="preserve">COLLAR MOÑO TELA C/STRASS                         </t>
  </si>
  <si>
    <t>Colores en cada modelo</t>
  </si>
  <si>
    <t xml:space="preserve">NOTAS </t>
  </si>
  <si>
    <t xml:space="preserve">COLLAR TACHAS STRASS 15mm                       </t>
  </si>
  <si>
    <t xml:space="preserve">COLLAR TACHAS STRASS 15mm           </t>
  </si>
  <si>
    <t xml:space="preserve">COLLAR TACHAS STRASS 15mm                    </t>
  </si>
  <si>
    <t xml:space="preserve">COLLAR C/ PUAS 15mm              </t>
  </si>
  <si>
    <t xml:space="preserve">COLLAR C/ PUAS 15mm           </t>
  </si>
  <si>
    <t xml:space="preserve">COLLAR PUAS Y TACHAS STRASS 15mm   </t>
  </si>
  <si>
    <t xml:space="preserve">COLLAR PUAS Y TACHAS STRASS 15mm            </t>
  </si>
  <si>
    <t xml:space="preserve">COLLAR PUAS Y TACHAS STRASS 15mm           </t>
  </si>
  <si>
    <t xml:space="preserve">COLLAR MINNIE MOUSE 15mm       </t>
  </si>
  <si>
    <t xml:space="preserve">COLLAR MINNIE MOUSE 15mm </t>
  </si>
  <si>
    <t xml:space="preserve">CORREA NYLON FASHION 15mm (1,20 m)                </t>
  </si>
  <si>
    <t xml:space="preserve">COLLAR NYLON FASHION 15mm                       </t>
  </si>
  <si>
    <t xml:space="preserve">COLLAR STRASS C/DIJE COLGANTE REDONDO 15mm              </t>
  </si>
  <si>
    <t>COLLAR STRASS C/DIJE COLGANTE REDONDO 15mm</t>
  </si>
  <si>
    <t xml:space="preserve">COLLAR STRASS C/DIJE COLGANTE REDONDO 15mm          </t>
  </si>
  <si>
    <t xml:space="preserve">COLLAR CON MOÑO BRILLOSO   15mm     </t>
  </si>
  <si>
    <t xml:space="preserve">COLLAR CON MOÑO  BRILLOSO  15mm      </t>
  </si>
  <si>
    <t xml:space="preserve">COLLAR CON MOÑO BRILLOSO 15mm  </t>
  </si>
  <si>
    <t xml:space="preserve">COLLAR NYLON LISO C/PASADOR CUERINA COLOR Y DIJE 15mm                        </t>
  </si>
  <si>
    <t xml:space="preserve"> Colores: rojo-negro-francia-violeta-fucsia-rosa-turqueza-naranja  </t>
  </si>
  <si>
    <t xml:space="preserve">CORREA NYLON LISO 15mm (1,20 m)   </t>
  </si>
  <si>
    <t xml:space="preserve">COLLAR AJUSTABLE FASHION  15mm </t>
  </si>
  <si>
    <t xml:space="preserve">COLLAR PUAS Y TACHAS STRASS 20mm                    </t>
  </si>
  <si>
    <t xml:space="preserve">COLLAR PUAS Y TACHAS STRASS 20mm         </t>
  </si>
  <si>
    <t xml:space="preserve">COLLAR PUAS Y TACHAS STRASS 20mm                     </t>
  </si>
  <si>
    <t>Colores: rosa-rojo-violeta</t>
  </si>
  <si>
    <t>Colores: negro-rojo-plata-oro</t>
  </si>
  <si>
    <t xml:space="preserve"> COLLAR POLIPROPILENO TEXANO 20mm                </t>
  </si>
  <si>
    <t>Colores: rojo-negro-rosa-francia</t>
  </si>
  <si>
    <t>Charol: fucsia-negro-rojo-blanco-francia                                                            Simil cuero cosido: oro-negro-rosa-oro-francia</t>
  </si>
  <si>
    <t xml:space="preserve">COLLAR PASADOR STRASS  20mm                          </t>
  </si>
  <si>
    <t xml:space="preserve">COLLAR PASADOR STRASS  20mm                             </t>
  </si>
  <si>
    <t>Colores: blanco-rosa-oro-negro</t>
  </si>
  <si>
    <t xml:space="preserve">CORREA NYLON LISO 20mm (1,20 m)              </t>
  </si>
  <si>
    <t xml:space="preserve">CORREA ESTAMPADO 20mm (1,20 m)       </t>
  </si>
  <si>
    <t xml:space="preserve">COLLAR NYLON FASHION 20mm                         </t>
  </si>
  <si>
    <t xml:space="preserve">CORREA NYLON FASHION 20mm (1,20 m)                   </t>
  </si>
  <si>
    <t xml:space="preserve">  Colores: oro-plata-blanco-francia-celeste-violeta-fucsia-rosa-rojo-negro</t>
  </si>
  <si>
    <t xml:space="preserve">COLLAR AJUSTABLE FASHION  20mm      </t>
  </si>
  <si>
    <t xml:space="preserve">COLLAR NYLON LISO  C/ PASADOR CUERINA Y DIJE 25mm           </t>
  </si>
  <si>
    <t xml:space="preserve">CORREA NYLON LISO C/MOSQUETON REFORZADO 25mm (1,20 m)                     </t>
  </si>
  <si>
    <t>Pedir fotos de los espampados en STOCK</t>
  </si>
  <si>
    <t xml:space="preserve">CORREA ESTAMPADO 25mm (1,20 m)     </t>
  </si>
  <si>
    <t>Colores: rojo-negro-francia-rosa-violeta-fucsia-naranja</t>
  </si>
  <si>
    <t xml:space="preserve">COLLAR NYLON MOSTACILLA MULTICOLOR Y DIJE 25mm  </t>
  </si>
  <si>
    <t xml:space="preserve">COLLAR AJUSTABLE FASHION  25mm                                      </t>
  </si>
  <si>
    <t xml:space="preserve">CORREA NYLON MOSTACILLA MULTICOLOR C/MOSQUETON REFORZADO 25mm (1,20 m)                </t>
  </si>
  <si>
    <t xml:space="preserve">COLLAR NYLON TACHAS STRASS   30mm                        </t>
  </si>
  <si>
    <t xml:space="preserve">COLLAR NYLON TACHAS STRASS   30mm  </t>
  </si>
  <si>
    <t xml:space="preserve">COLLAR NYLON TACHAS STRASS   30mm   </t>
  </si>
  <si>
    <t xml:space="preserve">CORREA NYLON LISO C/ MOSQUETON REFORZADO 30mm (1,20 m)            </t>
  </si>
  <si>
    <t xml:space="preserve">COLLAR NYLON PUAS Y TACHAS STRASS                     </t>
  </si>
  <si>
    <t xml:space="preserve">CORREA NYLON ESTAMPADA  30mm  (1,20 m)     </t>
  </si>
  <si>
    <t xml:space="preserve">CORREA NYLON LISO 30mm MOSQUETON REFORZADO (1,20 m)             </t>
  </si>
  <si>
    <t xml:space="preserve">COLLAR ANCHO 30mm       </t>
  </si>
  <si>
    <t xml:space="preserve">     Nylon: verde- naranja-rojo-negro-francia-rosa-violeta-fucsia </t>
  </si>
  <si>
    <t xml:space="preserve">COLLAR AJUSTABLE FASHION  30mm  </t>
  </si>
  <si>
    <t xml:space="preserve">COLLAR ANCHO 40mm       </t>
  </si>
  <si>
    <t>COLLAR ESTAMPADO ANCHO REFORZADO 40mm o 4cm</t>
  </si>
  <si>
    <t>Pedir fotos de los estampados en STOCK</t>
  </si>
  <si>
    <t>Productos para PERROS GRANDES!     Ideal para GALGOS</t>
  </si>
  <si>
    <t xml:space="preserve">COLLAR ANCHO 50mm       </t>
  </si>
  <si>
    <t xml:space="preserve">COLLAR ESTAMPADO ANCHO REFORZADO 50mm o 5cm  </t>
  </si>
  <si>
    <t xml:space="preserve">  Especiales para gatos y cachorros   </t>
  </si>
  <si>
    <t xml:space="preserve">CORREA NYLON LISO  (1,20 m)           </t>
  </si>
  <si>
    <t>Nylon: negro-rojo-violeta-fucsia</t>
  </si>
  <si>
    <t xml:space="preserve"> Colores Fashion: oro-plata-blanco-francia-celeste-violeta-fucsia-rosa-rojo-negro</t>
  </si>
  <si>
    <t xml:space="preserve">CORREA FASHION (1,20 m)                             </t>
  </si>
  <si>
    <t>Incluye correa</t>
  </si>
  <si>
    <t xml:space="preserve">CORREA  (1,20 m)               </t>
  </si>
  <si>
    <t>SUBTOTAL</t>
  </si>
  <si>
    <t xml:space="preserve">PRETAL H REGULABLE NYLON LISO  15mm        </t>
  </si>
  <si>
    <t xml:space="preserve">PRETAL H FASHION   15mm            </t>
  </si>
  <si>
    <t xml:space="preserve">CONJUNTO PRETAL H ESTAMPADO   15mm            </t>
  </si>
  <si>
    <t xml:space="preserve">CONJUNTO PRETAL H ESTAMPADO  10mm           </t>
  </si>
  <si>
    <t xml:space="preserve">PRETAL H REGULABLE NYLON LISO  10mm    </t>
  </si>
  <si>
    <t xml:space="preserve">PRETAL H REGULABLE NYLON LISO  10mm          </t>
  </si>
  <si>
    <t xml:space="preserve">PRETAL H FASHION   15mm </t>
  </si>
  <si>
    <t>PRETAL H REGULABLE NYLON LISO  15mm</t>
  </si>
  <si>
    <t xml:space="preserve">PRETAL H REGULABLE NYLON LISO  20mm          </t>
  </si>
  <si>
    <t>PRETAL H REGULABLE NYLON LISO  20mm</t>
  </si>
  <si>
    <t xml:space="preserve">PRETAL H FASHION 20mm                </t>
  </si>
  <si>
    <t>PRETAL H FASHION 20mm</t>
  </si>
  <si>
    <t>CONJUNTO PRETAL H ESTAMPADO  20mm</t>
  </si>
  <si>
    <t xml:space="preserve">PRETAL H REGULABLE NYLON LISO  25mm          </t>
  </si>
  <si>
    <t xml:space="preserve">PRETAL H FASHION 25mm                </t>
  </si>
  <si>
    <t>CONJUNTO PRETAL H ESTAMPADO  25mm</t>
  </si>
  <si>
    <t xml:space="preserve">PRETAL H REGULABLE NYLON LISO  30mm          </t>
  </si>
  <si>
    <t xml:space="preserve">PRETAL H FASHION 30mm                </t>
  </si>
  <si>
    <t xml:space="preserve">PRETAL H FASHION 30mm        </t>
  </si>
  <si>
    <t>CONJUNTO PRETAL H ESTAMPADO  30mm</t>
  </si>
  <si>
    <t xml:space="preserve">DOCUMENTO NO VALIDO COMO FACTURA </t>
  </si>
  <si>
    <t xml:space="preserve">   PRESUPUESTO</t>
  </si>
  <si>
    <t>instagram: @wawpetaccesorios</t>
  </si>
  <si>
    <t xml:space="preserve">Contacto: Cel: 116121-4064     </t>
  </si>
  <si>
    <t>FECHA</t>
  </si>
  <si>
    <t xml:space="preserve">Direccion: </t>
  </si>
  <si>
    <t>PEDIDO POR</t>
  </si>
  <si>
    <t>Horario</t>
  </si>
  <si>
    <t xml:space="preserve">Veterinaria:                                                                       </t>
  </si>
  <si>
    <t>COLLARES ELASTIZADOS PARA GATOS</t>
  </si>
  <si>
    <t>COLLAR AJUSTABLES 30 mm (desde 42CM hasta 70 cm)</t>
  </si>
  <si>
    <t>COMPRA TOTAL:</t>
  </si>
  <si>
    <t xml:space="preserve">           0000- XXXX</t>
  </si>
  <si>
    <t xml:space="preserve">Direccion:                                                </t>
  </si>
  <si>
    <t xml:space="preserve">Pedido por: </t>
  </si>
  <si>
    <t>Telefono:</t>
  </si>
  <si>
    <t>Retira en sucursal o envio a domicilio: (completar si queres envio)</t>
  </si>
  <si>
    <t>Destino:</t>
  </si>
  <si>
    <t xml:space="preserve">CP: </t>
  </si>
  <si>
    <t>Horario de atencion:</t>
  </si>
  <si>
    <t xml:space="preserve">DNI:  (necesario si queres envio a domicilio por transporte)                                                       </t>
  </si>
  <si>
    <t xml:space="preserve">COLLAR ELASTIZADO AJUSTABLE LISO </t>
  </si>
  <si>
    <t xml:space="preserve">COLLAR ELASTIZADO AJUSTABLE  ESTAMPADO     </t>
  </si>
  <si>
    <t>COLLAR SEMI- ELASTIZADO GAMUZADO MOSTACILLA MULTICOLOR</t>
  </si>
  <si>
    <t xml:space="preserve">COLLAR ELASTIZADO AJUSTABLE PRINT CEBRA </t>
  </si>
  <si>
    <t xml:space="preserve">COLLAR ELASTIZADO AJUSTABLE BRILLOSO       </t>
  </si>
  <si>
    <t xml:space="preserve">COLLAR ELASTIZADO  AJUSTABLE CON STRASS         </t>
  </si>
  <si>
    <t xml:space="preserve">COLLAR ELASTIZADO AJUSTABLE VOLADITOS NUEVO!!      </t>
  </si>
  <si>
    <t xml:space="preserve">COLLAR  ELASTIZADO ARRUGADO  </t>
  </si>
  <si>
    <t xml:space="preserve">COLLAR  ELASTIZADO ARRUGADO C/ MOÑO TELA      </t>
  </si>
  <si>
    <t>501/25</t>
  </si>
  <si>
    <r>
      <rPr>
        <b/>
        <sz val="14"/>
        <color theme="7" tint="-0.249977111117893"/>
        <rFont val="Arial"/>
        <family val="2"/>
      </rPr>
      <t>LEER ANTES</t>
    </r>
    <r>
      <rPr>
        <b/>
        <sz val="14"/>
        <rFont val="Arial"/>
        <family val="2"/>
      </rPr>
      <t xml:space="preserve">         COMO HACER TU COMPRA:</t>
    </r>
  </si>
  <si>
    <t xml:space="preserve">  Moño estampado cuadrille: fucsia-negro Moños brillosos: oro-rosa-plata-negro-gris-rojo</t>
  </si>
  <si>
    <t xml:space="preserve">                     Simil cuero cosido: negro-oro-rojo-plata-fluo-fucsia-rosa-francia                       Charol: negro-rojo-violeta-azul francia-fucsia</t>
  </si>
  <si>
    <t>502/25</t>
  </si>
  <si>
    <t>503/25</t>
  </si>
  <si>
    <t>504/25</t>
  </si>
  <si>
    <t>505/25</t>
  </si>
  <si>
    <t>506/25</t>
  </si>
  <si>
    <t>507/25</t>
  </si>
  <si>
    <t>508/25</t>
  </si>
  <si>
    <t>509/25</t>
  </si>
  <si>
    <t>510/25</t>
  </si>
  <si>
    <t>511/25</t>
  </si>
  <si>
    <t>512/25</t>
  </si>
  <si>
    <t>513/25</t>
  </si>
  <si>
    <t>514/25</t>
  </si>
  <si>
    <t>515/25</t>
  </si>
  <si>
    <t>1010/25</t>
  </si>
  <si>
    <t>1010/35</t>
  </si>
  <si>
    <t>1010/30</t>
  </si>
  <si>
    <t xml:space="preserve">Charol:negro-rojo-fucsia-francia / Simil Cuero Cosido:negro-plata-rosa-oro-turqueza-rojo-violeta-francia </t>
  </si>
  <si>
    <t>1510/25</t>
  </si>
  <si>
    <t>1510/30</t>
  </si>
  <si>
    <t>1510/35</t>
  </si>
  <si>
    <t>1510/40</t>
  </si>
  <si>
    <t>RECOMENDAMOS VER DESDE UNA COMPUTADORA</t>
  </si>
  <si>
    <t>401/25</t>
  </si>
  <si>
    <t>402/25</t>
  </si>
  <si>
    <t>403/25</t>
  </si>
  <si>
    <t>404/25</t>
  </si>
  <si>
    <t>405/25</t>
  </si>
  <si>
    <t>406/25</t>
  </si>
  <si>
    <t>Unidades</t>
  </si>
  <si>
    <t>Tienda:</t>
  </si>
  <si>
    <t xml:space="preserve">COLLARES ELASTIZADOS PARA GATOS </t>
  </si>
  <si>
    <t xml:space="preserve"> Rojo-turqueza-plateado-fucsia-rosa   </t>
  </si>
  <si>
    <t xml:space="preserve"> Rojo-francia-negro-fucsia-violeta</t>
  </si>
  <si>
    <t xml:space="preserve"> Francia-rojo-negro-fucsia</t>
  </si>
  <si>
    <t xml:space="preserve"> Rojo-francia-negro-rosa-violeta</t>
  </si>
  <si>
    <t xml:space="preserve"> Francia-rojo-celeste-fucsia-violeta-gris-negro c/naranja   </t>
  </si>
  <si>
    <t xml:space="preserve"> Negro</t>
  </si>
  <si>
    <t xml:space="preserve"> Violeta-negro-rojo-coral-blanco-lila</t>
  </si>
  <si>
    <t xml:space="preserve"> Fucsia-verde-gris-celeste</t>
  </si>
  <si>
    <t xml:space="preserve"> Violeta-negro-rojo-coral-blanco-beige </t>
  </si>
  <si>
    <t xml:space="preserve"> Beige-celeste-rojo-turqueza-blanco</t>
  </si>
  <si>
    <t xml:space="preserve"> Francia-negro-rojo-naranja-amarillo-rosa-fluo verde-violeta</t>
  </si>
  <si>
    <t xml:space="preserve"> Rojo-negro-fucsia-rosa-violeta-fluo fucsia-amarillo</t>
  </si>
  <si>
    <t xml:space="preserve"> Francia-negro-rojo-amarillo-rosa </t>
  </si>
  <si>
    <t xml:space="preserve"> Violeta</t>
  </si>
  <si>
    <t xml:space="preserve"> Rojo-negro-rosa-blanco-lila-francia-print-oro-plata-fucsia-fluo naranja-fucsia y verde  PEDIR FOTO MOÑOS</t>
  </si>
  <si>
    <t xml:space="preserve"> Rojo-negro-rosa-blanco-lila-francia-print-oro-plata-fucsia-fluo naranja-fucsia y verde</t>
  </si>
  <si>
    <t xml:space="preserve"> Francia-oro-plata-fucsia-beige-negro</t>
  </si>
  <si>
    <t xml:space="preserve"> Negro con lunares-negro con patitas y corazones</t>
  </si>
  <si>
    <t xml:space="preserve"> Verde y rojo-azul y rojo-blanco y negro-negro y gris-azul,blanco y rosa-negro,blanco y rojo</t>
  </si>
  <si>
    <t xml:space="preserve">Colores Fashion: oro-plata-blanco-francia-celeste-violeta-fucsia-rosa-rojo-negro                Pedir fotos de los estampados en STOCK  </t>
  </si>
  <si>
    <t>2560/40</t>
  </si>
  <si>
    <t>2560/45</t>
  </si>
  <si>
    <t>2560/50</t>
  </si>
  <si>
    <t>2560/55</t>
  </si>
  <si>
    <t>2560/60</t>
  </si>
  <si>
    <t>2560/CO</t>
  </si>
  <si>
    <t>5060/50</t>
  </si>
  <si>
    <t>5060/45</t>
  </si>
  <si>
    <t>5060/55</t>
  </si>
  <si>
    <t>5060/60</t>
  </si>
  <si>
    <t>5060/65</t>
  </si>
  <si>
    <t>5060/70</t>
  </si>
  <si>
    <t>5060/75</t>
  </si>
  <si>
    <t>5060/RE</t>
  </si>
  <si>
    <t>5060/CO</t>
  </si>
  <si>
    <t>5080/45</t>
  </si>
  <si>
    <t>5080/55</t>
  </si>
  <si>
    <t>5080/RE</t>
  </si>
  <si>
    <t>5080/CO</t>
  </si>
  <si>
    <t>4060/45</t>
  </si>
  <si>
    <t>4060/50</t>
  </si>
  <si>
    <t>4060/55</t>
  </si>
  <si>
    <t>4060/60</t>
  </si>
  <si>
    <t>4060/65</t>
  </si>
  <si>
    <t>4060/RE</t>
  </si>
  <si>
    <t>4060/C0</t>
  </si>
  <si>
    <t>4080/45</t>
  </si>
  <si>
    <t>4080/55</t>
  </si>
  <si>
    <t>4080/RE</t>
  </si>
  <si>
    <t>4080/C0</t>
  </si>
  <si>
    <t>3072/65</t>
  </si>
  <si>
    <t>3073/65</t>
  </si>
  <si>
    <t>1020/25</t>
  </si>
  <si>
    <t>1020/30</t>
  </si>
  <si>
    <t>1020/35</t>
  </si>
  <si>
    <t>1030/25</t>
  </si>
  <si>
    <t>1030/30</t>
  </si>
  <si>
    <t>1030/35</t>
  </si>
  <si>
    <t>1572/35</t>
  </si>
  <si>
    <t>1510/CO</t>
  </si>
  <si>
    <t>1591/CO</t>
  </si>
  <si>
    <t>1592/CO</t>
  </si>
  <si>
    <t>1573/35</t>
  </si>
  <si>
    <t>1530/30</t>
  </si>
  <si>
    <t>1530/35</t>
  </si>
  <si>
    <t>1530/40</t>
  </si>
  <si>
    <t>1531/30</t>
  </si>
  <si>
    <t>1531/35</t>
  </si>
  <si>
    <t>1531/40</t>
  </si>
  <si>
    <t>1531/45</t>
  </si>
  <si>
    <t>1532/25</t>
  </si>
  <si>
    <t>1532/30</t>
  </si>
  <si>
    <t>1532/35</t>
  </si>
  <si>
    <t>1532/40</t>
  </si>
  <si>
    <t>1532/45</t>
  </si>
  <si>
    <t>1540/25</t>
  </si>
  <si>
    <t>1540/30</t>
  </si>
  <si>
    <t>1540/35</t>
  </si>
  <si>
    <t>1540/40</t>
  </si>
  <si>
    <t>1540/45</t>
  </si>
  <si>
    <t>1540/CO</t>
  </si>
  <si>
    <t>2072/45</t>
  </si>
  <si>
    <t>2073/45</t>
  </si>
  <si>
    <t>Charol: fucsia-negro-rojo-blanco-francia                                                                                    Simil cuero cosido: oro-negro-rosa-fluo-fucsia</t>
  </si>
  <si>
    <t>2010/30</t>
  </si>
  <si>
    <t>2010/35</t>
  </si>
  <si>
    <t>2010/40</t>
  </si>
  <si>
    <t>2010/45</t>
  </si>
  <si>
    <t>2010/CO</t>
  </si>
  <si>
    <t>2020/30</t>
  </si>
  <si>
    <t>2020/35</t>
  </si>
  <si>
    <t>2020/40</t>
  </si>
  <si>
    <t>2020/45</t>
  </si>
  <si>
    <t>2021/30</t>
  </si>
  <si>
    <t>2021/35</t>
  </si>
  <si>
    <t>2021/40</t>
  </si>
  <si>
    <t>2021/45</t>
  </si>
  <si>
    <t>2032/30</t>
  </si>
  <si>
    <t>2032/35</t>
  </si>
  <si>
    <t>2032/40</t>
  </si>
  <si>
    <t>2032/45</t>
  </si>
  <si>
    <t>2040/30</t>
  </si>
  <si>
    <t>2040/35</t>
  </si>
  <si>
    <t>2040/40</t>
  </si>
  <si>
    <t>2040/45</t>
  </si>
  <si>
    <t>2040/50</t>
  </si>
  <si>
    <t>2040/C0</t>
  </si>
  <si>
    <t>2060/30</t>
  </si>
  <si>
    <t>2060/35</t>
  </si>
  <si>
    <t>2060/40</t>
  </si>
  <si>
    <t>2060/45</t>
  </si>
  <si>
    <t>2060/50</t>
  </si>
  <si>
    <t>2060/00</t>
  </si>
  <si>
    <t>2091/C0</t>
  </si>
  <si>
    <t>2092/C0</t>
  </si>
  <si>
    <t>2591/C0</t>
  </si>
  <si>
    <t>2592/C0</t>
  </si>
  <si>
    <t>2593/C0</t>
  </si>
  <si>
    <t>2510/40</t>
  </si>
  <si>
    <t>2510/45</t>
  </si>
  <si>
    <t>2510/50</t>
  </si>
  <si>
    <t>2510/55</t>
  </si>
  <si>
    <t>COLLAR NYLON ESTAMPADO C/ PASADOR CUERINA Y DIJE 25mm</t>
  </si>
  <si>
    <t>2510/CO</t>
  </si>
  <si>
    <t>2550/40</t>
  </si>
  <si>
    <t>2550/45</t>
  </si>
  <si>
    <t>2550/50</t>
  </si>
  <si>
    <t>2550/55</t>
  </si>
  <si>
    <t>2550/60</t>
  </si>
  <si>
    <t>2550/65</t>
  </si>
  <si>
    <t>2550/CO</t>
  </si>
  <si>
    <t>2572/55</t>
  </si>
  <si>
    <t>2573/55</t>
  </si>
  <si>
    <t xml:space="preserve">Colores Fashion: oro-plata-blanco-francia-celeste-violeta-fucsia-rosa-rojo-negro / Pedir fotos de los estampados en STOCK  </t>
  </si>
  <si>
    <t>3091/C0</t>
  </si>
  <si>
    <t>3092/C0</t>
  </si>
  <si>
    <t>3010/40</t>
  </si>
  <si>
    <t>3010/45</t>
  </si>
  <si>
    <t>3010/50</t>
  </si>
  <si>
    <t>3010/55</t>
  </si>
  <si>
    <t>3010/60</t>
  </si>
  <si>
    <t>3010/65</t>
  </si>
  <si>
    <t>3010/C0</t>
  </si>
  <si>
    <t>3020/C0</t>
  </si>
  <si>
    <t>3020/40</t>
  </si>
  <si>
    <t>3020/45</t>
  </si>
  <si>
    <t>3020/50</t>
  </si>
  <si>
    <t>3020/55</t>
  </si>
  <si>
    <t>3020/60</t>
  </si>
  <si>
    <t>3020/65</t>
  </si>
  <si>
    <t>3030/40</t>
  </si>
  <si>
    <t>3030/45</t>
  </si>
  <si>
    <t>3030/50</t>
  </si>
  <si>
    <t>3030/55</t>
  </si>
  <si>
    <t>3030/60</t>
  </si>
  <si>
    <t>3030/65</t>
  </si>
  <si>
    <t>3030/C0</t>
  </si>
  <si>
    <t>3031/40</t>
  </si>
  <si>
    <t>3031/45</t>
  </si>
  <si>
    <t>3031/50</t>
  </si>
  <si>
    <t>3031/55</t>
  </si>
  <si>
    <t>3031/60</t>
  </si>
  <si>
    <t>3031/65</t>
  </si>
  <si>
    <t>3031/C0</t>
  </si>
  <si>
    <t>3032/40</t>
  </si>
  <si>
    <t>3032/45</t>
  </si>
  <si>
    <t>3032/50</t>
  </si>
  <si>
    <t>3032/55</t>
  </si>
  <si>
    <t>3032/60</t>
  </si>
  <si>
    <t>3032/65</t>
  </si>
  <si>
    <t>3032/C0</t>
  </si>
  <si>
    <t>3033/40</t>
  </si>
  <si>
    <t>3033/45</t>
  </si>
  <si>
    <t>3033/50</t>
  </si>
  <si>
    <t>3033/55</t>
  </si>
  <si>
    <t>3033/60</t>
  </si>
  <si>
    <t>3033/65</t>
  </si>
  <si>
    <t>3033/C0</t>
  </si>
  <si>
    <t>3040/40</t>
  </si>
  <si>
    <t>3040/45</t>
  </si>
  <si>
    <t>3040/50</t>
  </si>
  <si>
    <t>3040/55</t>
  </si>
  <si>
    <t>3040/60</t>
  </si>
  <si>
    <t>3040/65</t>
  </si>
  <si>
    <t>3040/CO</t>
  </si>
  <si>
    <t>3060/40</t>
  </si>
  <si>
    <t>3060/45</t>
  </si>
  <si>
    <t>3060/50</t>
  </si>
  <si>
    <t>3060/55</t>
  </si>
  <si>
    <t>3060/60</t>
  </si>
  <si>
    <t>3060/65</t>
  </si>
  <si>
    <t>3060/CO</t>
  </si>
  <si>
    <t>COLLAR AJUSTABLES 25 mm     (desde 34cm hasta 60cm)</t>
  </si>
  <si>
    <t xml:space="preserve">CORREA ESTAMPADA REGULABLE 50mm  (Max: 1,20 m Min: 0,70 m)            </t>
  </si>
  <si>
    <t xml:space="preserve">CORREA ESTAMPADA SIMPLE 50mm  (1,20 m)         </t>
  </si>
  <si>
    <t xml:space="preserve">CORREA ESTAMPADA REGULABLE 50mm      (Max: 1,20 m Min: 0,70 m)         </t>
  </si>
  <si>
    <t xml:space="preserve">CORREA ESTAMPADA REGULABLE 40mm  (Max: 1,20 m Min: 0,70 m)         </t>
  </si>
  <si>
    <t xml:space="preserve">CORREA ESTAMPADA SIMPLE 40mm  (1,20 m)         </t>
  </si>
  <si>
    <t xml:space="preserve">CORREA ESTAMPADA REGULABLE 40mm      (Max: 1,20 m Min: 0,70 m)             </t>
  </si>
  <si>
    <t xml:space="preserve">COLLAR ESTAMPADO ANCHO REFORZADO 40mm            </t>
  </si>
  <si>
    <t xml:space="preserve">COLLAR MARTINGALE  REFORZADO ESTAMPADO ANCHO 40mm       ( minimo 41 cm - maximo 64 cm  )                                            </t>
  </si>
  <si>
    <t xml:space="preserve">COLLAR MARTINGALE  REFORZADO ESTAMPADO ANCHO 40mm       ( minimo 35 cm - maximo 53 cm  )                                              </t>
  </si>
  <si>
    <t xml:space="preserve">COLLAR ESTAMPADO ANCHO REFORZADO 50mm  </t>
  </si>
  <si>
    <t xml:space="preserve">COLLAR MARTINGALE REFORZADO ESTAMPADO ANCHO 50mm  </t>
  </si>
  <si>
    <t xml:space="preserve">COLLAR MARTINGALE REFORZADO ESTAMPADO ANCHO 50mm        </t>
  </si>
  <si>
    <t xml:space="preserve">COLLAR  NYLON PUAS 30mm    </t>
  </si>
  <si>
    <t xml:space="preserve">COLLAR NYLON TEXANO 30mm         </t>
  </si>
  <si>
    <t>COLLAR  NYLON LISO C/ PASADOR CUERINA Y DIJE 30mm</t>
  </si>
  <si>
    <t xml:space="preserve">COLLAR NYLON  TACHAS CUADRADAS 30mm        </t>
  </si>
  <si>
    <t xml:space="preserve">COLLAR NYLON  FASHION 30mm                </t>
  </si>
  <si>
    <t xml:space="preserve">COLLAR NYLON ESTAMPADOS C/ PASADOR CUERINA Y DIJE 30mm  </t>
  </si>
  <si>
    <t>1051/25</t>
  </si>
  <si>
    <t>1051/30</t>
  </si>
  <si>
    <t>1051/35</t>
  </si>
  <si>
    <t>1052/25</t>
  </si>
  <si>
    <t>1052/30</t>
  </si>
  <si>
    <t>1052/35</t>
  </si>
  <si>
    <t>1053/25</t>
  </si>
  <si>
    <t>1053/30</t>
  </si>
  <si>
    <t>1053/35</t>
  </si>
  <si>
    <t>1054/25</t>
  </si>
  <si>
    <t>1054/30</t>
  </si>
  <si>
    <t>1054/35</t>
  </si>
  <si>
    <t>1055/25</t>
  </si>
  <si>
    <t>1055/30</t>
  </si>
  <si>
    <t>1055/35</t>
  </si>
  <si>
    <t>1056/25</t>
  </si>
  <si>
    <t>1056/30</t>
  </si>
  <si>
    <t>1056/35</t>
  </si>
  <si>
    <t>1057/25</t>
  </si>
  <si>
    <t>1057/30</t>
  </si>
  <si>
    <t>1057/35</t>
  </si>
  <si>
    <t>1551/30</t>
  </si>
  <si>
    <t>1552/35</t>
  </si>
  <si>
    <t>1552/40</t>
  </si>
  <si>
    <t>1553/25</t>
  </si>
  <si>
    <t>1553/30</t>
  </si>
  <si>
    <t>1553/35</t>
  </si>
  <si>
    <t>1553/40</t>
  </si>
  <si>
    <t>1552/25</t>
  </si>
  <si>
    <t>1552/30</t>
  </si>
  <si>
    <t>1551/40</t>
  </si>
  <si>
    <t>1551/35</t>
  </si>
  <si>
    <t>PRONTO</t>
  </si>
  <si>
    <t>2051/30</t>
  </si>
  <si>
    <t>2051/35</t>
  </si>
  <si>
    <t>2051/40</t>
  </si>
  <si>
    <t>2051/45</t>
  </si>
  <si>
    <t>2051/50</t>
  </si>
  <si>
    <t>2052/30</t>
  </si>
  <si>
    <t>2052/35</t>
  </si>
  <si>
    <t>2052/40</t>
  </si>
  <si>
    <t>2052/45</t>
  </si>
  <si>
    <t>2053/30</t>
  </si>
  <si>
    <t>2053/35</t>
  </si>
  <si>
    <t>2053/40</t>
  </si>
  <si>
    <t>2053/45</t>
  </si>
  <si>
    <t>2054/30</t>
  </si>
  <si>
    <t>2054/35</t>
  </si>
  <si>
    <t>2054/40</t>
  </si>
  <si>
    <t>2054/45</t>
  </si>
  <si>
    <t>2054/50</t>
  </si>
  <si>
    <t xml:space="preserve">COLLAR ELASTIZADO AJUSTABLE  CORAZONES COLOR   </t>
  </si>
  <si>
    <r>
      <t xml:space="preserve">COLLAR SEMI- ELASTIZADO CADENA COLOR NUEVO!!   </t>
    </r>
    <r>
      <rPr>
        <b/>
        <sz val="11"/>
        <rFont val="Arial"/>
        <family val="2"/>
      </rPr>
      <t xml:space="preserve">  </t>
    </r>
  </si>
  <si>
    <r>
      <t xml:space="preserve">COLLAR SEMI- ELASTIZADO GAMUZADO STRASS               </t>
    </r>
    <r>
      <rPr>
        <b/>
        <sz val="11"/>
        <rFont val="Arial"/>
        <family val="2"/>
      </rPr>
      <t xml:space="preserve"> </t>
    </r>
  </si>
  <si>
    <r>
      <t xml:space="preserve">COLLAR SEMI- ELASTIZADO GAMUZADO CUADRADOS STRASS              </t>
    </r>
    <r>
      <rPr>
        <b/>
        <sz val="11"/>
        <rFont val="Arial"/>
        <family val="2"/>
      </rPr>
      <t xml:space="preserve">  </t>
    </r>
  </si>
  <si>
    <r>
      <t xml:space="preserve">COLLAR SEMI- ELASTIZADO GAMUZADO STRASS MULTICOLOR              </t>
    </r>
    <r>
      <rPr>
        <b/>
        <sz val="11"/>
        <rFont val="Arial"/>
        <family val="2"/>
      </rPr>
      <t xml:space="preserve"> </t>
    </r>
  </si>
  <si>
    <r>
      <t xml:space="preserve">COLLAR SEMI- ELASTIZADO PERLAS COLOR     </t>
    </r>
    <r>
      <rPr>
        <b/>
        <sz val="11"/>
        <rFont val="Arial"/>
        <family val="2"/>
      </rPr>
      <t xml:space="preserve">    </t>
    </r>
    <r>
      <rPr>
        <sz val="11"/>
        <rFont val="Arial"/>
        <family val="2"/>
      </rPr>
      <t xml:space="preserve"> </t>
    </r>
  </si>
  <si>
    <r>
      <t xml:space="preserve">COLLAR ELASTIZADO AJUSTABLE CAMUFLADO   </t>
    </r>
    <r>
      <rPr>
        <b/>
        <sz val="11"/>
        <rFont val="Arial"/>
        <family val="2"/>
      </rPr>
      <t xml:space="preserve">    </t>
    </r>
    <r>
      <rPr>
        <sz val="11"/>
        <rFont val="Arial"/>
        <family val="2"/>
      </rPr>
      <t xml:space="preserve">           </t>
    </r>
  </si>
  <si>
    <r>
      <t xml:space="preserve">COLLAR ELASTIZADO AJUSTABLE ESTRELLAS  </t>
    </r>
    <r>
      <rPr>
        <b/>
        <sz val="11"/>
        <rFont val="Arial"/>
        <family val="2"/>
      </rPr>
      <t xml:space="preserve">  </t>
    </r>
  </si>
  <si>
    <r>
      <t xml:space="preserve">COLLAR ELASTIZADO AJUSTABLE PRINT LEOPARDO      </t>
    </r>
    <r>
      <rPr>
        <b/>
        <sz val="11"/>
        <rFont val="Arial"/>
        <family val="2"/>
      </rPr>
      <t xml:space="preserve">     </t>
    </r>
    <r>
      <rPr>
        <sz val="11"/>
        <rFont val="Arial"/>
        <family val="2"/>
      </rPr>
      <t xml:space="preserve"> </t>
    </r>
  </si>
  <si>
    <r>
      <t xml:space="preserve">COLLAR ELASTIZADO AJUSTABLE RAYADO       </t>
    </r>
    <r>
      <rPr>
        <b/>
        <sz val="11"/>
        <rFont val="Arial"/>
        <family val="2"/>
      </rPr>
      <t xml:space="preserve">  </t>
    </r>
  </si>
  <si>
    <r>
      <t xml:space="preserve">COLLAR ELASTIZADO AJUSTABLE CON MOÑO  </t>
    </r>
    <r>
      <rPr>
        <b/>
        <sz val="11"/>
        <rFont val="Arial"/>
        <family val="2"/>
      </rPr>
      <t xml:space="preserve">       </t>
    </r>
  </si>
  <si>
    <r>
      <t xml:space="preserve">COLLAR ELASTIZADO AJUSTABLE C/ FLOR              </t>
    </r>
    <r>
      <rPr>
        <b/>
        <sz val="11"/>
        <rFont val="Arial"/>
        <family val="2"/>
      </rPr>
      <t xml:space="preserve"> </t>
    </r>
  </si>
  <si>
    <r>
      <t xml:space="preserve">COLLAR GARGANTILLA STRASS </t>
    </r>
    <r>
      <rPr>
        <b/>
        <sz val="9"/>
        <rFont val="Arial"/>
        <family val="2"/>
      </rPr>
      <t xml:space="preserve"> Dije strass: dog-corona-corazon-cruz   </t>
    </r>
  </si>
  <si>
    <r>
      <t xml:space="preserve">COLLARES AJUSTABLES   </t>
    </r>
    <r>
      <rPr>
        <b/>
        <sz val="9"/>
        <rFont val="Arial"/>
        <family val="2"/>
      </rPr>
      <t xml:space="preserve">   (contorno cuello a partir de 19 cm hasta 30 cm)</t>
    </r>
  </si>
  <si>
    <r>
      <t xml:space="preserve">COLLAR AJUSTABLE  ESTAMPADO       </t>
    </r>
    <r>
      <rPr>
        <b/>
        <sz val="8"/>
        <rFont val="Arial"/>
        <family val="2"/>
      </rPr>
      <t xml:space="preserve">   Pedir fotos de los estampados en STOCK           </t>
    </r>
  </si>
  <si>
    <r>
      <t xml:space="preserve">COLLAR AJUSTABLE BRILLOSO </t>
    </r>
    <r>
      <rPr>
        <b/>
        <sz val="8"/>
        <rFont val="Arial"/>
        <family val="2"/>
      </rPr>
      <t xml:space="preserve"> colores: verde-oro-negro-francia-rojo-violeta-plata-fucsia        </t>
    </r>
  </si>
  <si>
    <r>
      <t xml:space="preserve">COLLAR AJUSTABLE  CORAZONES PLATEADOS    </t>
    </r>
    <r>
      <rPr>
        <b/>
        <sz val="8"/>
        <rFont val="Arial"/>
        <family val="2"/>
      </rPr>
      <t>colores: negro-fucsia-verde-rojo-celeste</t>
    </r>
    <r>
      <rPr>
        <sz val="8"/>
        <rFont val="Arial"/>
        <family val="2"/>
      </rPr>
      <t xml:space="preserve">              </t>
    </r>
  </si>
  <si>
    <r>
      <t xml:space="preserve">COLLAR AJUSTABLE  LENTEJUELAS       </t>
    </r>
    <r>
      <rPr>
        <b/>
        <sz val="8"/>
        <rFont val="Arial"/>
        <family val="2"/>
      </rPr>
      <t>colores: rojo-negro-verde-oro-violeta-celeste</t>
    </r>
    <r>
      <rPr>
        <sz val="8"/>
        <rFont val="Arial"/>
        <family val="2"/>
      </rPr>
      <t xml:space="preserve">       </t>
    </r>
  </si>
  <si>
    <t xml:space="preserve">COLLAR TEXANO 10mm    </t>
  </si>
  <si>
    <r>
      <t xml:space="preserve">COLLAR AJUSTABLE ESTAMPADO  15mm    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 xml:space="preserve">           </t>
    </r>
  </si>
  <si>
    <r>
      <t xml:space="preserve">    </t>
    </r>
    <r>
      <rPr>
        <b/>
        <sz val="8"/>
        <rFont val="Arial"/>
        <family val="2"/>
      </rPr>
      <t xml:space="preserve"> Colores: turqueza-naranja-violeta-rojo-fucsia-francia-negro-rosa</t>
    </r>
  </si>
  <si>
    <r>
      <t>COLLARES MARTINGALE 4 cm</t>
    </r>
    <r>
      <rPr>
        <b/>
        <sz val="8"/>
        <rFont val="Arial"/>
        <family val="2"/>
      </rPr>
      <t xml:space="preserve"> (SEMI AHORQUE Y REGULABLES min.35 - max. 53, ANCHO 4 cm)      </t>
    </r>
  </si>
  <si>
    <r>
      <t>COLLAR MARTINGALE 50mm o 5 cm</t>
    </r>
    <r>
      <rPr>
        <b/>
        <sz val="10"/>
        <rFont val="Arial"/>
        <family val="2"/>
      </rPr>
      <t xml:space="preserve"> </t>
    </r>
    <r>
      <rPr>
        <b/>
        <sz val="8"/>
        <rFont val="Arial"/>
        <family val="2"/>
      </rPr>
      <t xml:space="preserve">(SEMI AHORQUE Y REGULABLES min.35 - max. 53)   </t>
    </r>
  </si>
  <si>
    <r>
      <t>Tel:</t>
    </r>
    <r>
      <rPr>
        <b/>
        <sz val="10"/>
        <rFont val="Arial"/>
        <family val="2"/>
      </rPr>
      <t xml:space="preserve"> </t>
    </r>
  </si>
  <si>
    <r>
      <rPr>
        <b/>
        <sz val="11"/>
        <color theme="1"/>
        <rFont val="Arial"/>
        <family val="2"/>
      </rPr>
      <t>1 Guardá el archivo</t>
    </r>
    <r>
      <rPr>
        <sz val="11"/>
        <color theme="1"/>
        <rFont val="Arial"/>
        <family val="2"/>
      </rPr>
      <t xml:space="preserve">
Antes de empezar, guardá esta lista en tu computadora con el </t>
    </r>
    <r>
      <rPr>
        <b/>
        <sz val="11"/>
        <color theme="1"/>
        <rFont val="Arial"/>
        <family val="2"/>
      </rPr>
      <t>nombre</t>
    </r>
    <r>
      <rPr>
        <sz val="11"/>
        <color theme="1"/>
        <rFont val="Arial"/>
        <family val="2"/>
      </rPr>
      <t xml:space="preserve"> de tu pet shop o veterinaria y la</t>
    </r>
    <r>
      <rPr>
        <b/>
        <sz val="11"/>
        <color theme="1"/>
        <rFont val="Arial"/>
        <family val="2"/>
      </rPr>
      <t xml:space="preserve"> fecha</t>
    </r>
    <r>
      <rPr>
        <sz val="11"/>
        <color theme="1"/>
        <rFont val="Arial"/>
        <family val="2"/>
      </rPr>
      <t>.  Así podremos identificar tu pedido cuando nos lo envíes.</t>
    </r>
  </si>
  <si>
    <r>
      <rPr>
        <b/>
        <sz val="11"/>
        <color theme="1"/>
        <rFont val="Arial"/>
        <family val="2"/>
      </rPr>
      <t>2 Conocé la estructura del archivo</t>
    </r>
    <r>
      <rPr>
        <sz val="11"/>
        <color theme="1"/>
        <rFont val="Arial"/>
        <family val="2"/>
      </rPr>
      <t xml:space="preserve">
En la segunda hoja llamada</t>
    </r>
    <r>
      <rPr>
        <b/>
        <sz val="11"/>
        <color theme="1"/>
        <rFont val="Arial"/>
        <family val="2"/>
      </rPr>
      <t xml:space="preserve"> PRESUPUESTO</t>
    </r>
    <r>
      <rPr>
        <sz val="11"/>
        <color theme="1"/>
        <rFont val="Arial"/>
        <family val="2"/>
      </rPr>
      <t xml:space="preserve"> vas a ver el resumen total de tu pedido (¡no tenés que completar nada ahí!).
Luego, en las siguientes hojas encontrarás nuestros productos separados por ancho de collar y pretal.</t>
    </r>
  </si>
  <si>
    <r>
      <rPr>
        <b/>
        <sz val="11"/>
        <color theme="1"/>
        <rFont val="Arial"/>
        <family val="2"/>
      </rPr>
      <t>4 Volvemos a la hoja PRESUPUESTO</t>
    </r>
    <r>
      <rPr>
        <sz val="11"/>
        <color theme="1"/>
        <rFont val="Arial"/>
        <family val="2"/>
      </rPr>
      <t xml:space="preserve">
Al terminar de completar todas las hojas, en la hoja inicial PRESUPUESTO vas a ver el resumen por anchos. </t>
    </r>
    <r>
      <rPr>
        <b/>
        <sz val="11"/>
        <color theme="1"/>
        <rFont val="Arial"/>
        <family val="2"/>
      </rPr>
      <t>COMPRA TOTAL</t>
    </r>
    <r>
      <rPr>
        <sz val="11"/>
        <color theme="1"/>
        <rFont val="Arial"/>
        <family val="2"/>
      </rPr>
      <t>: suma total de todos los productos que elegiste.</t>
    </r>
  </si>
  <si>
    <r>
      <rPr>
        <b/>
        <sz val="11"/>
        <color theme="1"/>
        <rFont val="Arial"/>
        <family val="2"/>
      </rPr>
      <t>5 Datos de contacto</t>
    </r>
    <r>
      <rPr>
        <sz val="11"/>
        <color theme="1"/>
        <rFont val="Arial"/>
        <family val="2"/>
      </rPr>
      <t xml:space="preserve">
Recordá </t>
    </r>
    <r>
      <rPr>
        <b/>
        <sz val="11"/>
        <color theme="1"/>
        <rFont val="Arial"/>
        <family val="2"/>
      </rPr>
      <t>completar</t>
    </r>
    <r>
      <rPr>
        <sz val="11"/>
        <color theme="1"/>
        <rFont val="Arial"/>
        <family val="2"/>
      </rPr>
      <t xml:space="preserve"> tus datos en el recuadro de abajo del presupuesto, arriba nos ocupamos nosotros.</t>
    </r>
  </si>
  <si>
    <r>
      <t xml:space="preserve">COLLARES ANCHO </t>
    </r>
    <r>
      <rPr>
        <b/>
        <sz val="9"/>
        <rFont val="Arial"/>
        <family val="2"/>
      </rPr>
      <t>10</t>
    </r>
    <r>
      <rPr>
        <sz val="9"/>
        <rFont val="Arial"/>
        <family val="2"/>
      </rPr>
      <t xml:space="preserve"> mm VARIOS MODELOS Y TALLES</t>
    </r>
  </si>
  <si>
    <r>
      <t xml:space="preserve">COLLARES ANCHO </t>
    </r>
    <r>
      <rPr>
        <b/>
        <sz val="10"/>
        <rFont val="Arial"/>
        <family val="2"/>
      </rPr>
      <t>15</t>
    </r>
    <r>
      <rPr>
        <sz val="9"/>
        <rFont val="Arial"/>
        <family val="2"/>
      </rPr>
      <t xml:space="preserve"> mm VARIOS MODELOS Y TALLES</t>
    </r>
  </si>
  <si>
    <r>
      <t xml:space="preserve">COLLARES ANCHO </t>
    </r>
    <r>
      <rPr>
        <b/>
        <sz val="10"/>
        <rFont val="Arial"/>
        <family val="2"/>
      </rPr>
      <t>20</t>
    </r>
    <r>
      <rPr>
        <sz val="9"/>
        <rFont val="Arial"/>
        <family val="2"/>
      </rPr>
      <t xml:space="preserve"> mm VARIOS MODELOS Y TALLES</t>
    </r>
  </si>
  <si>
    <r>
      <t xml:space="preserve">COLLARES ANCHO </t>
    </r>
    <r>
      <rPr>
        <b/>
        <sz val="9"/>
        <rFont val="Arial"/>
        <family val="2"/>
      </rPr>
      <t>25</t>
    </r>
    <r>
      <rPr>
        <sz val="9"/>
        <rFont val="Arial"/>
        <family val="2"/>
      </rPr>
      <t xml:space="preserve"> mm VARIOS MODELOS Y TALLES</t>
    </r>
  </si>
  <si>
    <r>
      <t xml:space="preserve">COLLARES ANCHO </t>
    </r>
    <r>
      <rPr>
        <b/>
        <sz val="9"/>
        <rFont val="Arial"/>
        <family val="2"/>
      </rPr>
      <t>30</t>
    </r>
    <r>
      <rPr>
        <sz val="9"/>
        <rFont val="Arial"/>
        <family val="2"/>
      </rPr>
      <t xml:space="preserve"> mm VARIOS MODELOS Y TALLES</t>
    </r>
  </si>
  <si>
    <r>
      <t xml:space="preserve">COLLARES ANCHO </t>
    </r>
    <r>
      <rPr>
        <b/>
        <sz val="9"/>
        <rFont val="Arial"/>
        <family val="2"/>
      </rPr>
      <t>40</t>
    </r>
    <r>
      <rPr>
        <sz val="9"/>
        <rFont val="Arial"/>
        <family val="2"/>
      </rPr>
      <t xml:space="preserve"> mm VARIOS MODELOS Y TALLES</t>
    </r>
  </si>
  <si>
    <r>
      <t xml:space="preserve">COLLARES ANCHO </t>
    </r>
    <r>
      <rPr>
        <b/>
        <sz val="9"/>
        <rFont val="Arial"/>
        <family val="2"/>
      </rPr>
      <t>50</t>
    </r>
    <r>
      <rPr>
        <sz val="9"/>
        <rFont val="Arial"/>
        <family val="2"/>
      </rPr>
      <t xml:space="preserve"> mm VARIOS MODELOS Y TALLES</t>
    </r>
  </si>
  <si>
    <r>
      <t xml:space="preserve">PRETALES H ANCHO </t>
    </r>
    <r>
      <rPr>
        <b/>
        <sz val="9"/>
        <rFont val="Arial"/>
        <family val="2"/>
      </rPr>
      <t>10</t>
    </r>
    <r>
      <rPr>
        <sz val="9"/>
        <rFont val="Arial"/>
        <family val="2"/>
      </rPr>
      <t xml:space="preserve"> mm VARIOS MODELOS Y TALLES</t>
    </r>
  </si>
  <si>
    <r>
      <t xml:space="preserve">PRETALES H ANCHO </t>
    </r>
    <r>
      <rPr>
        <b/>
        <sz val="9"/>
        <rFont val="Arial"/>
        <family val="2"/>
      </rPr>
      <t>15</t>
    </r>
    <r>
      <rPr>
        <sz val="9"/>
        <rFont val="Arial"/>
        <family val="2"/>
      </rPr>
      <t xml:space="preserve"> mm VARIOS MODELOS Y TALLES</t>
    </r>
  </si>
  <si>
    <r>
      <t>PRETALES H ANCHO</t>
    </r>
    <r>
      <rPr>
        <b/>
        <sz val="9"/>
        <rFont val="Arial"/>
        <family val="2"/>
      </rPr>
      <t xml:space="preserve"> 20</t>
    </r>
    <r>
      <rPr>
        <sz val="9"/>
        <rFont val="Arial"/>
        <family val="2"/>
      </rPr>
      <t xml:space="preserve"> mm VARIOS MODELOS Y TALLES</t>
    </r>
  </si>
  <si>
    <r>
      <t xml:space="preserve">PRETALES H ANCHO </t>
    </r>
    <r>
      <rPr>
        <b/>
        <sz val="9"/>
        <rFont val="Arial"/>
        <family val="2"/>
      </rPr>
      <t>25</t>
    </r>
    <r>
      <rPr>
        <sz val="9"/>
        <rFont val="Arial"/>
        <family val="2"/>
      </rPr>
      <t xml:space="preserve"> mm VARIOS MODELOS Y TALLES</t>
    </r>
  </si>
  <si>
    <r>
      <t xml:space="preserve">PRETALES H ANCHO </t>
    </r>
    <r>
      <rPr>
        <b/>
        <sz val="9"/>
        <rFont val="Arial"/>
        <family val="2"/>
      </rPr>
      <t>30</t>
    </r>
    <r>
      <rPr>
        <sz val="9"/>
        <rFont val="Arial"/>
        <family val="2"/>
      </rPr>
      <t xml:space="preserve"> mm VARIOS MODELOS Y TALLES</t>
    </r>
  </si>
  <si>
    <r>
      <t xml:space="preserve">PRETALES H ANCHO </t>
    </r>
    <r>
      <rPr>
        <b/>
        <sz val="9"/>
        <rFont val="Arial"/>
        <family val="2"/>
      </rPr>
      <t>40</t>
    </r>
    <r>
      <rPr>
        <sz val="9"/>
        <rFont val="Arial"/>
        <family val="2"/>
      </rPr>
      <t xml:space="preserve"> mm VARIOS MODELOS Y TALLES</t>
    </r>
  </si>
  <si>
    <r>
      <t xml:space="preserve">PRETALES H ANCHO </t>
    </r>
    <r>
      <rPr>
        <b/>
        <sz val="9"/>
        <rFont val="Arial"/>
        <family val="2"/>
      </rPr>
      <t>50</t>
    </r>
    <r>
      <rPr>
        <sz val="9"/>
        <rFont val="Arial"/>
        <family val="2"/>
      </rPr>
      <t xml:space="preserve"> mm VARIOS MODELOS Y TALLES</t>
    </r>
  </si>
  <si>
    <t>400/500</t>
  </si>
  <si>
    <r>
      <rPr>
        <b/>
        <sz val="11"/>
        <color theme="1"/>
        <rFont val="Arial"/>
        <family val="2"/>
      </rPr>
      <t>8 Dudas?</t>
    </r>
    <r>
      <rPr>
        <sz val="11"/>
        <color theme="1"/>
        <rFont val="Arial"/>
        <family val="2"/>
      </rPr>
      <t xml:space="preserve">
Escribinos al </t>
    </r>
    <r>
      <rPr>
        <b/>
        <sz val="11"/>
        <color theme="1"/>
        <rFont val="Arial"/>
        <family val="2"/>
      </rPr>
      <t>WhatsApp</t>
    </r>
    <r>
      <rPr>
        <sz val="11"/>
        <color theme="1"/>
        <rFont val="Arial"/>
        <family val="2"/>
      </rPr>
      <t xml:space="preserve">: 1161214064 (Yael y Matías) — ¡Estamos para ayudarte!
</t>
    </r>
  </si>
  <si>
    <r>
      <rPr>
        <b/>
        <sz val="11"/>
        <color theme="1"/>
        <rFont val="Arial"/>
        <family val="2"/>
      </rPr>
      <t>6 Envianos tu pedido</t>
    </r>
    <r>
      <rPr>
        <sz val="11"/>
        <color theme="1"/>
        <rFont val="Arial"/>
        <family val="2"/>
      </rPr>
      <t xml:space="preserve">
Cuando termines, enviá esta planilla a nuestro</t>
    </r>
    <r>
      <rPr>
        <b/>
        <sz val="11"/>
        <color theme="1"/>
        <rFont val="Arial"/>
        <family val="2"/>
      </rPr>
      <t xml:space="preserve"> WhatsApp: 1161214064 (Yael y Matías)</t>
    </r>
    <r>
      <rPr>
        <sz val="11"/>
        <color theme="1"/>
        <rFont val="Arial"/>
        <family val="2"/>
      </rPr>
      <t xml:space="preserve">
</t>
    </r>
  </si>
  <si>
    <r>
      <rPr>
        <b/>
        <sz val="11"/>
        <color theme="1"/>
        <rFont val="Arial"/>
        <family val="2"/>
      </rPr>
      <t>7 Confirmacion del pedido</t>
    </r>
    <r>
      <rPr>
        <sz val="11"/>
        <color theme="1"/>
        <rFont val="Arial"/>
        <family val="2"/>
      </rPr>
      <t xml:space="preserve">
Nos vamos a contactar con vos para confirmar que lo recibimos enviandote nuestros datos para el envio del 50% del total del pedido, una vez enviado eso comenzamos a realizar el mismo.
</t>
    </r>
  </si>
  <si>
    <r>
      <rPr>
        <b/>
        <sz val="11"/>
        <color theme="1"/>
        <rFont val="Arial"/>
        <family val="2"/>
      </rPr>
      <t>3 Completá tu pedido</t>
    </r>
    <r>
      <rPr>
        <sz val="11"/>
        <color theme="1"/>
        <rFont val="Arial"/>
        <family val="2"/>
      </rPr>
      <t xml:space="preserve">
En cada hoja en el recuadro </t>
    </r>
    <r>
      <rPr>
        <b/>
        <sz val="11"/>
        <color theme="1"/>
        <rFont val="Arial"/>
        <family val="2"/>
      </rPr>
      <t>VIOLETA</t>
    </r>
    <r>
      <rPr>
        <sz val="11"/>
        <color theme="1"/>
        <rFont val="Arial"/>
        <family val="2"/>
      </rPr>
      <t xml:space="preserve"> escribí la cantidad de unidades que querés de cada modelo. Podés detallar los colores que preferís. En </t>
    </r>
    <r>
      <rPr>
        <b/>
        <sz val="11"/>
        <color theme="1"/>
        <rFont val="Arial"/>
        <family val="2"/>
      </rPr>
      <t>SUBTOTAL</t>
    </r>
    <r>
      <rPr>
        <sz val="11"/>
        <color theme="1"/>
        <rFont val="Arial"/>
        <family val="2"/>
      </rPr>
      <t xml:space="preserve"> se calculará automáticamente cuánto suma cada producto que elijas.</t>
    </r>
  </si>
  <si>
    <t>COLLAR NYLON ESTAMPADO C/ PASADOR CUERINA Y DIJE 15mm</t>
  </si>
  <si>
    <t xml:space="preserve">COLLAR ESTAMPADO  C/ PASADOR CUERINA Y DIJE 15mm                                  </t>
  </si>
  <si>
    <t>1560/25</t>
  </si>
  <si>
    <t>1560/30</t>
  </si>
  <si>
    <t>1560/35</t>
  </si>
  <si>
    <t>1560/40</t>
  </si>
  <si>
    <t>1560/CO</t>
  </si>
  <si>
    <t xml:space="preserve">COLLAR LETRAS STRASS 20mm    </t>
  </si>
  <si>
    <t xml:space="preserve">COLLAR CON LETRAS STRASS  20mm         </t>
  </si>
  <si>
    <t>2052/50</t>
  </si>
  <si>
    <t>2540/45</t>
  </si>
  <si>
    <t>2540/50</t>
  </si>
  <si>
    <t>2540/C0</t>
  </si>
  <si>
    <t>1550/40</t>
  </si>
  <si>
    <t>1550/CO</t>
  </si>
  <si>
    <t xml:space="preserve">COLLAR NYLON MOSTACILLA MULTICOLOR Y DIJE 15mm  </t>
  </si>
  <si>
    <t>COLLAR NYLON FASHION 25mm</t>
  </si>
  <si>
    <t xml:space="preserve">COLLAR NYLON FASHION 25mm                         </t>
  </si>
  <si>
    <t xml:space="preserve">CORREA NYLON FASHION 25mm (1,20 m)                   </t>
  </si>
  <si>
    <t xml:space="preserve">COLLAR NYLON MOSTACILLA MULTICOLOR  Y DIJE 15mm             </t>
  </si>
  <si>
    <t xml:space="preserve">CORREA NYLON MOSTACILLA MULTICOLOR C/MOSQUETON REFORZADO 15mm (1,20 m)                </t>
  </si>
  <si>
    <t>1550/25</t>
  </si>
  <si>
    <t>1550/30</t>
  </si>
  <si>
    <t>1550/35</t>
  </si>
  <si>
    <t>2540/55</t>
  </si>
  <si>
    <t>2540/60</t>
  </si>
  <si>
    <t xml:space="preserve">COLLAR PASADOR STRASS 20mm    </t>
  </si>
  <si>
    <t xml:space="preserve">COLLAR PURPURINA CON PASADORES Y CADENA 20mm     </t>
  </si>
  <si>
    <t>1550/45</t>
  </si>
  <si>
    <t xml:space="preserve"> Francia-negro-rojo-turq-verde-amarillo-rosa-fucsia-violeta-fluo amarillo-fluo fucsia-fluo naranja-fluo verde</t>
  </si>
  <si>
    <r>
      <t xml:space="preserve">PRETALES ANCHO </t>
    </r>
    <r>
      <rPr>
        <b/>
        <sz val="11"/>
        <color rgb="FFFF00FF"/>
        <rFont val="Arial"/>
        <family val="2"/>
      </rPr>
      <t xml:space="preserve"> </t>
    </r>
    <r>
      <rPr>
        <b/>
        <sz val="14"/>
        <color rgb="FFFF00FF"/>
        <rFont val="Arial"/>
        <family val="2"/>
      </rPr>
      <t>15mm</t>
    </r>
    <r>
      <rPr>
        <b/>
        <sz val="11"/>
        <color rgb="FFFF00FF"/>
        <rFont val="Arial"/>
        <family val="2"/>
      </rPr>
      <t xml:space="preserve">  </t>
    </r>
    <r>
      <rPr>
        <b/>
        <sz val="10"/>
        <rFont val="Arial"/>
        <family val="2"/>
      </rPr>
      <t xml:space="preserve"> cont. Cuello min.24 cm max. 38 cm          cont. Pecho min.30cm max. 50 cm </t>
    </r>
  </si>
  <si>
    <r>
      <t xml:space="preserve">PRETALES ANCHO  20mm   </t>
    </r>
    <r>
      <rPr>
        <b/>
        <sz val="10"/>
        <rFont val="Arial"/>
        <family val="2"/>
      </rPr>
      <t xml:space="preserve"> cont. Cuello min.30 cm max. 48 cm          cont. Pecho min.34 cm max. 55 cm</t>
    </r>
  </si>
  <si>
    <r>
      <t xml:space="preserve">PRETALES ANCHO  25mm         </t>
    </r>
    <r>
      <rPr>
        <b/>
        <sz val="9"/>
        <rFont val="Arial"/>
        <family val="2"/>
      </rPr>
      <t xml:space="preserve">cont. Cuello min.32 cm max. 54 cm        cont. Pecho min. 42 cm max. 62 cm  </t>
    </r>
  </si>
  <si>
    <t>2593/25mm</t>
  </si>
  <si>
    <t>CONJUNTO PRETAL H ESTAMPADO  50mm</t>
  </si>
  <si>
    <t>CONJUNTO PRETAL H ESTAMPADO  40mm</t>
  </si>
  <si>
    <r>
      <t xml:space="preserve">PRETALES ANCHO  40mm  </t>
    </r>
    <r>
      <rPr>
        <b/>
        <sz val="9"/>
        <rFont val="Arial"/>
        <family val="2"/>
      </rPr>
      <t xml:space="preserve">cont. Cuello min.46 cm max. 72 cm        cont. Pecho min. 56 cm max. 96 cm    </t>
    </r>
  </si>
  <si>
    <r>
      <t xml:space="preserve">PRETALES ANCHO 50mm     </t>
    </r>
    <r>
      <rPr>
        <b/>
        <sz val="9"/>
        <rFont val="Arial"/>
        <family val="2"/>
      </rPr>
      <t xml:space="preserve"> cont. Cuello min.52 cm max. 80 cm      cont. Pecho min. 66 cm max. 84 cm   </t>
    </r>
  </si>
  <si>
    <r>
      <t xml:space="preserve">PRETALES ANCHO  30mm    </t>
    </r>
    <r>
      <rPr>
        <b/>
        <sz val="9"/>
        <rFont val="Arial"/>
        <family val="2"/>
      </rPr>
      <t xml:space="preserve"> cont. Cuello min. 40 cm max. 64 cm        cont. Pecho min. 50 cm max. 85 cm </t>
    </r>
  </si>
  <si>
    <r>
      <t xml:space="preserve">PRETALES ANCHO  10mm    </t>
    </r>
    <r>
      <rPr>
        <b/>
        <sz val="9"/>
        <rFont val="Arial"/>
        <family val="2"/>
      </rPr>
      <t>cont.cuello min. 22 max. 35 cm    cont.Pecho min. 26 max. 42 cm</t>
    </r>
  </si>
  <si>
    <t>1590/15mm</t>
  </si>
  <si>
    <t>1590/CO</t>
  </si>
  <si>
    <t>1091/CO</t>
  </si>
  <si>
    <t>1090/CO</t>
  </si>
  <si>
    <t>2090/20mm</t>
  </si>
  <si>
    <t>2090/C0</t>
  </si>
  <si>
    <t>3090/30mm</t>
  </si>
  <si>
    <t>3090/C0</t>
  </si>
  <si>
    <t>4090/40mm</t>
  </si>
  <si>
    <t>4090/C0</t>
  </si>
  <si>
    <t>5090/50mm</t>
  </si>
  <si>
    <t>5090/C0</t>
  </si>
  <si>
    <t>CONJUNTO PRETAL H ESTAMPADO  50mm                                                                                                     $ 22.800</t>
  </si>
  <si>
    <r>
      <t xml:space="preserve">CONJUNTO PRETAL H ESTAMPADO  40mm                                                                                                          </t>
    </r>
    <r>
      <rPr>
        <sz val="10"/>
        <rFont val="Arial"/>
        <family val="2"/>
      </rPr>
      <t xml:space="preserve">    $ 19.800</t>
    </r>
  </si>
  <si>
    <r>
      <t xml:space="preserve">CONJUNTO PRETAL H ESTAMPADO  25mm                                                                               </t>
    </r>
    <r>
      <rPr>
        <sz val="10"/>
        <rFont val="Arial"/>
        <family val="2"/>
      </rPr>
      <t xml:space="preserve">               $ 15.6000</t>
    </r>
  </si>
  <si>
    <t>CONJUNTO PRETAL H ESTAMPADO  10mm                                                                                            $ 13550</t>
  </si>
  <si>
    <r>
      <t xml:space="preserve">CONJUNTO PRETAL H ESTAMPADO   15mm                                                           </t>
    </r>
    <r>
      <rPr>
        <sz val="9"/>
        <rFont val="Arial"/>
        <family val="2"/>
      </rPr>
      <t xml:space="preserve">  $ 14.100</t>
    </r>
  </si>
  <si>
    <r>
      <t xml:space="preserve">CONJUNTO PRETAL H ESTAMPADO  20mm                                  </t>
    </r>
    <r>
      <rPr>
        <sz val="11"/>
        <rFont val="Arial"/>
        <family val="2"/>
      </rPr>
      <t xml:space="preserve">  </t>
    </r>
    <r>
      <rPr>
        <sz val="10"/>
        <rFont val="Arial"/>
        <family val="2"/>
      </rPr>
      <t xml:space="preserve">  $ 14.800</t>
    </r>
  </si>
  <si>
    <r>
      <t xml:space="preserve">CONJUNTO PRETAL H ESTAMPADO  30mm                             </t>
    </r>
    <r>
      <rPr>
        <sz val="10"/>
        <rFont val="Arial"/>
        <family val="2"/>
      </rPr>
      <t xml:space="preserve">     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 $ 16500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</si>
</sst>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&quot;$&quot;\ #,##0.00;[Red]&quot;$&quot;\ \-#,##0.00"/>
    <numFmt numFmtId="166" formatCode="_ [$€-2]\ * #,##0.00_ ;_ [$€-2]\ * \-#,##0.00_ ;_ [$€-2]\ * &quot;-&quot;??_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4"/>
      <color theme="7" tint="-0.249977111117893"/>
      <name val="Arial"/>
      <family val="2"/>
    </font>
    <font>
      <b/>
      <sz val="11"/>
      <name val="Arial"/>
      <family val="2"/>
    </font>
    <font>
      <b/>
      <sz val="16"/>
      <color rgb="FFFF00FF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FF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10"/>
      <color rgb="FFFF33CC"/>
      <name val="Arial"/>
      <family val="2"/>
    </font>
    <font>
      <b/>
      <sz val="10"/>
      <color rgb="FFFF33CC"/>
      <name val="Arial"/>
      <family val="2"/>
    </font>
    <font>
      <sz val="11"/>
      <color indexed="56"/>
      <name val="Arial"/>
      <family val="2"/>
    </font>
    <font>
      <sz val="14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8"/>
      <name val="Calibri"/>
      <family val="2"/>
      <scheme val="minor"/>
    </font>
    <font>
      <b/>
      <sz val="11"/>
      <color rgb="FFFF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DEDD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793BF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6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411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1" xfId="0" applyBorder="1" applyAlignment="1">
      <alignment horizontal="center" vertical="center" wrapText="1"/>
    </xf>
    <xf numFmtId="0" fontId="2" fillId="2" borderId="14" xfId="2" applyFont="1" applyFill="1" applyBorder="1"/>
    <xf numFmtId="0" fontId="2" fillId="2" borderId="14" xfId="2" applyFont="1" applyFill="1" applyBorder="1" applyAlignment="1">
      <alignment horizontal="left"/>
    </xf>
    <xf numFmtId="0" fontId="2" fillId="2" borderId="18" xfId="2" applyFont="1" applyFill="1" applyBorder="1" applyAlignment="1">
      <alignment horizontal="left"/>
    </xf>
    <xf numFmtId="14" fontId="2" fillId="0" borderId="40" xfId="0" applyNumberFormat="1" applyFont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0" fillId="0" borderId="0" xfId="0" applyAlignment="1">
      <alignment wrapText="1" readingOrder="1"/>
    </xf>
    <xf numFmtId="0" fontId="5" fillId="4" borderId="53" xfId="2" applyFont="1" applyFill="1" applyBorder="1" applyAlignment="1">
      <alignment horizontal="center"/>
    </xf>
    <xf numFmtId="0" fontId="4" fillId="2" borderId="14" xfId="2" applyFont="1" applyFill="1" applyBorder="1" applyAlignment="1">
      <alignment horizontal="center" wrapText="1"/>
    </xf>
    <xf numFmtId="0" fontId="2" fillId="7" borderId="47" xfId="2" applyFont="1" applyFill="1" applyBorder="1" applyAlignment="1">
      <alignment horizontal="center" vertical="center"/>
    </xf>
    <xf numFmtId="0" fontId="3" fillId="7" borderId="21" xfId="2" applyFont="1" applyFill="1" applyBorder="1" applyAlignment="1">
      <alignment horizontal="center" vertical="center" wrapText="1"/>
    </xf>
    <xf numFmtId="0" fontId="2" fillId="7" borderId="2" xfId="2" applyFont="1" applyFill="1" applyBorder="1" applyAlignment="1">
      <alignment horizontal="center" vertical="center"/>
    </xf>
    <xf numFmtId="164" fontId="2" fillId="7" borderId="47" xfId="2" applyNumberFormat="1" applyFont="1" applyFill="1" applyBorder="1" applyAlignment="1">
      <alignment horizontal="center" vertical="center"/>
    </xf>
    <xf numFmtId="165" fontId="7" fillId="4" borderId="60" xfId="2" applyNumberFormat="1" applyFont="1" applyFill="1" applyBorder="1" applyAlignment="1">
      <alignment horizontal="center" vertical="center"/>
    </xf>
    <xf numFmtId="164" fontId="5" fillId="4" borderId="9" xfId="2" applyNumberFormat="1" applyFont="1" applyFill="1" applyBorder="1" applyAlignment="1">
      <alignment horizontal="center"/>
    </xf>
    <xf numFmtId="164" fontId="5" fillId="4" borderId="55" xfId="2" applyNumberFormat="1" applyFont="1" applyFill="1" applyBorder="1" applyAlignment="1">
      <alignment vertical="center"/>
    </xf>
    <xf numFmtId="165" fontId="5" fillId="4" borderId="44" xfId="2" applyNumberFormat="1" applyFont="1" applyFill="1" applyBorder="1" applyAlignment="1">
      <alignment horizontal="left" vertical="center"/>
    </xf>
    <xf numFmtId="165" fontId="7" fillId="4" borderId="25" xfId="2" applyNumberFormat="1" applyFont="1" applyFill="1" applyBorder="1" applyAlignment="1">
      <alignment horizontal="center" vertical="center"/>
    </xf>
    <xf numFmtId="165" fontId="5" fillId="4" borderId="41" xfId="2" applyNumberFormat="1" applyFont="1" applyFill="1" applyBorder="1" applyAlignment="1">
      <alignment horizontal="left" vertical="center"/>
    </xf>
    <xf numFmtId="164" fontId="5" fillId="4" borderId="63" xfId="2" applyNumberFormat="1" applyFont="1" applyFill="1" applyBorder="1" applyAlignment="1">
      <alignment horizontal="center"/>
    </xf>
    <xf numFmtId="164" fontId="5" fillId="4" borderId="64" xfId="0" applyNumberFormat="1" applyFont="1" applyFill="1" applyBorder="1"/>
    <xf numFmtId="164" fontId="5" fillId="4" borderId="64" xfId="2" applyNumberFormat="1" applyFont="1" applyFill="1" applyBorder="1" applyAlignment="1">
      <alignment vertical="center"/>
    </xf>
    <xf numFmtId="165" fontId="5" fillId="4" borderId="44" xfId="0" applyNumberFormat="1" applyFont="1" applyFill="1" applyBorder="1" applyAlignment="1">
      <alignment horizontal="left" vertical="center"/>
    </xf>
    <xf numFmtId="164" fontId="5" fillId="4" borderId="63" xfId="0" applyNumberFormat="1" applyFont="1" applyFill="1" applyBorder="1" applyAlignment="1">
      <alignment horizontal="center"/>
    </xf>
    <xf numFmtId="164" fontId="5" fillId="4" borderId="37" xfId="0" applyNumberFormat="1" applyFont="1" applyFill="1" applyBorder="1" applyAlignment="1">
      <alignment horizontal="center"/>
    </xf>
    <xf numFmtId="164" fontId="5" fillId="4" borderId="23" xfId="0" applyNumberFormat="1" applyFont="1" applyFill="1" applyBorder="1"/>
    <xf numFmtId="164" fontId="5" fillId="4" borderId="37" xfId="2" applyNumberFormat="1" applyFont="1" applyFill="1" applyBorder="1" applyAlignment="1">
      <alignment horizontal="center"/>
    </xf>
    <xf numFmtId="164" fontId="5" fillId="4" borderId="23" xfId="2" applyNumberFormat="1" applyFont="1" applyFill="1" applyBorder="1" applyAlignment="1">
      <alignment vertical="center"/>
    </xf>
    <xf numFmtId="0" fontId="5" fillId="2" borderId="19" xfId="2" applyFont="1" applyFill="1" applyBorder="1" applyAlignment="1">
      <alignment horizontal="left" vertical="center" wrapText="1"/>
    </xf>
    <xf numFmtId="0" fontId="11" fillId="0" borderId="34" xfId="0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7" fillId="7" borderId="12" xfId="2" applyNumberFormat="1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 wrapText="1"/>
    </xf>
    <xf numFmtId="0" fontId="2" fillId="7" borderId="6" xfId="2" applyFont="1" applyFill="1" applyBorder="1" applyAlignment="1">
      <alignment horizontal="center" vertical="center"/>
    </xf>
    <xf numFmtId="0" fontId="2" fillId="7" borderId="12" xfId="2" applyFont="1" applyFill="1" applyBorder="1" applyAlignment="1">
      <alignment horizontal="center" vertical="center"/>
    </xf>
    <xf numFmtId="164" fontId="2" fillId="7" borderId="6" xfId="2" applyNumberFormat="1" applyFont="1" applyFill="1" applyBorder="1" applyAlignment="1">
      <alignment horizontal="center" vertical="center"/>
    </xf>
    <xf numFmtId="0" fontId="2" fillId="7" borderId="19" xfId="2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left" vertical="center"/>
    </xf>
    <xf numFmtId="164" fontId="1" fillId="4" borderId="1" xfId="2" applyNumberFormat="1" applyFill="1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0" fontId="2" fillId="5" borderId="30" xfId="2" applyFont="1" applyFill="1" applyBorder="1" applyAlignment="1">
      <alignment horizontal="center" vertical="center"/>
    </xf>
    <xf numFmtId="0" fontId="14" fillId="5" borderId="7" xfId="2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4" fontId="15" fillId="5" borderId="24" xfId="2" applyNumberFormat="1" applyFont="1" applyFill="1" applyBorder="1" applyAlignment="1">
      <alignment horizontal="center" vertical="center" wrapText="1"/>
    </xf>
    <xf numFmtId="0" fontId="1" fillId="4" borderId="3" xfId="2" applyFill="1" applyBorder="1" applyAlignment="1">
      <alignment horizontal="center" vertical="center"/>
    </xf>
    <xf numFmtId="0" fontId="16" fillId="2" borderId="13" xfId="2" applyFont="1" applyFill="1" applyBorder="1" applyAlignment="1">
      <alignment horizontal="left" vertical="center"/>
    </xf>
    <xf numFmtId="164" fontId="1" fillId="4" borderId="13" xfId="2" applyNumberFormat="1" applyFill="1" applyBorder="1" applyAlignment="1">
      <alignment horizontal="center" vertical="center"/>
    </xf>
    <xf numFmtId="164" fontId="1" fillId="0" borderId="13" xfId="2" applyNumberFormat="1" applyBorder="1" applyAlignment="1">
      <alignment horizontal="center" vertical="center"/>
    </xf>
    <xf numFmtId="0" fontId="1" fillId="2" borderId="14" xfId="2" applyFill="1" applyBorder="1" applyAlignment="1">
      <alignment horizontal="center" vertical="center"/>
    </xf>
    <xf numFmtId="0" fontId="16" fillId="2" borderId="9" xfId="2" applyFont="1" applyFill="1" applyBorder="1" applyAlignment="1">
      <alignment horizontal="left" vertical="center"/>
    </xf>
    <xf numFmtId="164" fontId="1" fillId="4" borderId="9" xfId="2" applyNumberFormat="1" applyFill="1" applyBorder="1" applyAlignment="1">
      <alignment horizontal="center" vertical="center"/>
    </xf>
    <xf numFmtId="164" fontId="1" fillId="0" borderId="9" xfId="2" applyNumberFormat="1" applyBorder="1" applyAlignment="1">
      <alignment horizontal="center" vertical="center"/>
    </xf>
    <xf numFmtId="164" fontId="1" fillId="5" borderId="11" xfId="2" applyNumberFormat="1" applyFill="1" applyBorder="1" applyAlignment="1">
      <alignment horizontal="center" vertical="center"/>
    </xf>
    <xf numFmtId="0" fontId="2" fillId="5" borderId="11" xfId="2" applyFont="1" applyFill="1" applyBorder="1" applyAlignment="1">
      <alignment horizontal="center" vertical="center"/>
    </xf>
    <xf numFmtId="164" fontId="1" fillId="5" borderId="10" xfId="2" applyNumberForma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left" vertical="center"/>
    </xf>
    <xf numFmtId="0" fontId="16" fillId="5" borderId="11" xfId="0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left" vertical="center"/>
    </xf>
    <xf numFmtId="164" fontId="1" fillId="4" borderId="13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center"/>
    </xf>
    <xf numFmtId="164" fontId="1" fillId="4" borderId="9" xfId="0" applyNumberFormat="1" applyFont="1" applyFill="1" applyBorder="1" applyAlignment="1">
      <alignment horizontal="center" vertical="center"/>
    </xf>
    <xf numFmtId="164" fontId="2" fillId="5" borderId="11" xfId="2" applyNumberFormat="1" applyFont="1" applyFill="1" applyBorder="1" applyAlignment="1">
      <alignment horizontal="center" vertical="center"/>
    </xf>
    <xf numFmtId="0" fontId="1" fillId="5" borderId="11" xfId="2" applyFill="1" applyBorder="1" applyAlignment="1">
      <alignment horizontal="center" vertical="center"/>
    </xf>
    <xf numFmtId="164" fontId="1" fillId="2" borderId="13" xfId="2" applyNumberFormat="1" applyFill="1" applyBorder="1" applyAlignment="1">
      <alignment horizontal="center" vertical="center"/>
    </xf>
    <xf numFmtId="164" fontId="17" fillId="5" borderId="24" xfId="2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164" fontId="18" fillId="0" borderId="2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3" fillId="7" borderId="5" xfId="2" applyFont="1" applyFill="1" applyBorder="1" applyAlignment="1">
      <alignment horizontal="left" vertical="center" wrapText="1"/>
    </xf>
    <xf numFmtId="0" fontId="2" fillId="5" borderId="38" xfId="2" applyFont="1" applyFill="1" applyBorder="1" applyAlignment="1">
      <alignment horizontal="center" vertical="center"/>
    </xf>
    <xf numFmtId="0" fontId="15" fillId="5" borderId="28" xfId="2" applyFont="1" applyFill="1" applyBorder="1" applyAlignment="1">
      <alignment horizontal="center" vertical="center" wrapText="1"/>
    </xf>
    <xf numFmtId="0" fontId="2" fillId="10" borderId="3" xfId="2" applyFont="1" applyFill="1" applyBorder="1" applyAlignment="1">
      <alignment horizontal="center"/>
    </xf>
    <xf numFmtId="0" fontId="16" fillId="4" borderId="13" xfId="2" applyFont="1" applyFill="1" applyBorder="1" applyAlignment="1">
      <alignment horizontal="left" vertical="center"/>
    </xf>
    <xf numFmtId="0" fontId="16" fillId="4" borderId="1" xfId="2" applyFont="1" applyFill="1" applyBorder="1" applyAlignment="1">
      <alignment horizontal="left" vertical="center"/>
    </xf>
    <xf numFmtId="0" fontId="16" fillId="4" borderId="9" xfId="2" applyFont="1" applyFill="1" applyBorder="1" applyAlignment="1">
      <alignment horizontal="left" vertical="center"/>
    </xf>
    <xf numFmtId="0" fontId="15" fillId="5" borderId="24" xfId="2" applyFont="1" applyFill="1" applyBorder="1" applyAlignment="1">
      <alignment horizontal="center" vertical="center" wrapText="1"/>
    </xf>
    <xf numFmtId="0" fontId="1" fillId="4" borderId="15" xfId="2" applyFill="1" applyBorder="1" applyAlignment="1">
      <alignment horizontal="center" vertical="center"/>
    </xf>
    <xf numFmtId="164" fontId="1" fillId="4" borderId="16" xfId="2" applyNumberForma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7" fillId="7" borderId="4" xfId="2" applyNumberFormat="1" applyFont="1" applyFill="1" applyBorder="1" applyAlignment="1">
      <alignment horizontal="center" vertical="center"/>
    </xf>
    <xf numFmtId="0" fontId="3" fillId="7" borderId="8" xfId="2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center" vertical="center"/>
    </xf>
    <xf numFmtId="164" fontId="2" fillId="7" borderId="40" xfId="2" applyNumberFormat="1" applyFont="1" applyFill="1" applyBorder="1" applyAlignment="1">
      <alignment horizontal="center" vertical="center"/>
    </xf>
    <xf numFmtId="0" fontId="14" fillId="5" borderId="43" xfId="2" applyFont="1" applyFill="1" applyBorder="1" applyAlignment="1">
      <alignment vertical="center"/>
    </xf>
    <xf numFmtId="9" fontId="15" fillId="5" borderId="45" xfId="2" applyNumberFormat="1" applyFont="1" applyFill="1" applyBorder="1" applyAlignment="1">
      <alignment horizontal="center"/>
    </xf>
    <xf numFmtId="0" fontId="1" fillId="5" borderId="45" xfId="2" applyFill="1" applyBorder="1" applyAlignment="1">
      <alignment horizontal="center"/>
    </xf>
    <xf numFmtId="0" fontId="16" fillId="5" borderId="46" xfId="2" applyFont="1" applyFill="1" applyBorder="1" applyAlignment="1">
      <alignment horizontal="center" vertical="center" wrapText="1"/>
    </xf>
    <xf numFmtId="164" fontId="17" fillId="5" borderId="50" xfId="2" applyNumberFormat="1" applyFont="1" applyFill="1" applyBorder="1" applyAlignment="1">
      <alignment horizontal="center" wrapText="1"/>
    </xf>
    <xf numFmtId="0" fontId="16" fillId="4" borderId="13" xfId="2" applyFont="1" applyFill="1" applyBorder="1" applyAlignment="1">
      <alignment vertical="center"/>
    </xf>
    <xf numFmtId="164" fontId="1" fillId="4" borderId="13" xfId="2" applyNumberFormat="1" applyFill="1" applyBorder="1" applyAlignment="1">
      <alignment horizontal="center"/>
    </xf>
    <xf numFmtId="164" fontId="1" fillId="0" borderId="13" xfId="2" applyNumberFormat="1" applyBorder="1" applyAlignment="1">
      <alignment vertical="center"/>
    </xf>
    <xf numFmtId="0" fontId="1" fillId="2" borderId="14" xfId="2" applyFill="1" applyBorder="1" applyAlignment="1">
      <alignment horizontal="center" wrapText="1"/>
    </xf>
    <xf numFmtId="0" fontId="16" fillId="4" borderId="1" xfId="2" applyFont="1" applyFill="1" applyBorder="1" applyAlignment="1">
      <alignment vertical="center"/>
    </xf>
    <xf numFmtId="164" fontId="1" fillId="4" borderId="1" xfId="2" applyNumberFormat="1" applyFill="1" applyBorder="1" applyAlignment="1">
      <alignment horizontal="center"/>
    </xf>
    <xf numFmtId="164" fontId="1" fillId="0" borderId="1" xfId="2" applyNumberFormat="1" applyBorder="1" applyAlignment="1">
      <alignment vertical="center"/>
    </xf>
    <xf numFmtId="0" fontId="16" fillId="4" borderId="9" xfId="2" applyFont="1" applyFill="1" applyBorder="1" applyAlignment="1">
      <alignment vertical="center"/>
    </xf>
    <xf numFmtId="164" fontId="1" fillId="4" borderId="9" xfId="2" applyNumberFormat="1" applyFill="1" applyBorder="1" applyAlignment="1">
      <alignment horizontal="center"/>
    </xf>
    <xf numFmtId="164" fontId="1" fillId="0" borderId="9" xfId="2" applyNumberFormat="1" applyBorder="1" applyAlignment="1">
      <alignment vertical="center"/>
    </xf>
    <xf numFmtId="0" fontId="14" fillId="5" borderId="7" xfId="2" applyFont="1" applyFill="1" applyBorder="1" applyAlignment="1">
      <alignment vertical="center"/>
    </xf>
    <xf numFmtId="9" fontId="15" fillId="5" borderId="11" xfId="2" applyNumberFormat="1" applyFont="1" applyFill="1" applyBorder="1" applyAlignment="1">
      <alignment horizontal="center"/>
    </xf>
    <xf numFmtId="0" fontId="1" fillId="5" borderId="11" xfId="2" applyFill="1" applyBorder="1" applyAlignment="1">
      <alignment horizontal="center"/>
    </xf>
    <xf numFmtId="164" fontId="1" fillId="5" borderId="10" xfId="2" applyNumberFormat="1" applyFill="1" applyBorder="1"/>
    <xf numFmtId="0" fontId="15" fillId="5" borderId="14" xfId="2" applyFont="1" applyFill="1" applyBorder="1" applyAlignment="1">
      <alignment horizontal="center" vertical="center" wrapText="1"/>
    </xf>
    <xf numFmtId="0" fontId="16" fillId="2" borderId="13" xfId="2" applyFont="1" applyFill="1" applyBorder="1" applyAlignment="1">
      <alignment vertical="center"/>
    </xf>
    <xf numFmtId="0" fontId="16" fillId="2" borderId="1" xfId="2" applyFont="1" applyFill="1" applyBorder="1" applyAlignment="1">
      <alignment vertical="center"/>
    </xf>
    <xf numFmtId="0" fontId="1" fillId="4" borderId="32" xfId="2" applyFill="1" applyBorder="1" applyAlignment="1">
      <alignment horizontal="center" vertical="center"/>
    </xf>
    <xf numFmtId="0" fontId="16" fillId="2" borderId="9" xfId="2" applyFont="1" applyFill="1" applyBorder="1" applyAlignment="1">
      <alignment vertical="center"/>
    </xf>
    <xf numFmtId="0" fontId="2" fillId="5" borderId="3" xfId="2" applyFont="1" applyFill="1" applyBorder="1" applyAlignment="1">
      <alignment horizontal="center" vertical="center"/>
    </xf>
    <xf numFmtId="0" fontId="1" fillId="4" borderId="3" xfId="2" applyFill="1" applyBorder="1" applyAlignment="1">
      <alignment horizontal="center"/>
    </xf>
    <xf numFmtId="0" fontId="2" fillId="5" borderId="30" xfId="2" applyFont="1" applyFill="1" applyBorder="1" applyAlignment="1">
      <alignment vertical="center"/>
    </xf>
    <xf numFmtId="164" fontId="1" fillId="5" borderId="10" xfId="2" applyNumberFormat="1" applyFill="1" applyBorder="1" applyAlignment="1">
      <alignment vertical="center"/>
    </xf>
    <xf numFmtId="164" fontId="2" fillId="5" borderId="11" xfId="2" applyNumberFormat="1" applyFont="1" applyFill="1" applyBorder="1" applyAlignment="1">
      <alignment horizontal="center"/>
    </xf>
    <xf numFmtId="164" fontId="1" fillId="2" borderId="13" xfId="2" applyNumberFormat="1" applyFill="1" applyBorder="1" applyAlignment="1">
      <alignment vertical="center"/>
    </xf>
    <xf numFmtId="0" fontId="1" fillId="4" borderId="7" xfId="2" applyFill="1" applyBorder="1" applyAlignment="1">
      <alignment horizontal="center"/>
    </xf>
    <xf numFmtId="0" fontId="2" fillId="5" borderId="67" xfId="2" applyFont="1" applyFill="1" applyBorder="1" applyAlignment="1">
      <alignment vertical="center"/>
    </xf>
    <xf numFmtId="0" fontId="14" fillId="5" borderId="31" xfId="2" applyFont="1" applyFill="1" applyBorder="1" applyAlignment="1">
      <alignment vertical="center"/>
    </xf>
    <xf numFmtId="164" fontId="1" fillId="5" borderId="66" xfId="2" applyNumberFormat="1" applyFill="1" applyBorder="1" applyAlignment="1">
      <alignment horizontal="center"/>
    </xf>
    <xf numFmtId="0" fontId="1" fillId="5" borderId="66" xfId="2" applyFill="1" applyBorder="1" applyAlignment="1">
      <alignment horizontal="center"/>
    </xf>
    <xf numFmtId="164" fontId="1" fillId="5" borderId="65" xfId="2" applyNumberFormat="1" applyFill="1" applyBorder="1" applyAlignment="1">
      <alignment vertical="center"/>
    </xf>
    <xf numFmtId="0" fontId="15" fillId="5" borderId="22" xfId="2" applyFont="1" applyFill="1" applyBorder="1" applyAlignment="1">
      <alignment horizontal="center" wrapText="1"/>
    </xf>
    <xf numFmtId="0" fontId="1" fillId="2" borderId="14" xfId="2" applyFill="1" applyBorder="1" applyAlignment="1">
      <alignment horizontal="left"/>
    </xf>
    <xf numFmtId="0" fontId="1" fillId="4" borderId="36" xfId="2" applyFill="1" applyBorder="1" applyAlignment="1">
      <alignment horizontal="center" vertical="center"/>
    </xf>
    <xf numFmtId="0" fontId="16" fillId="4" borderId="37" xfId="2" applyFont="1" applyFill="1" applyBorder="1" applyAlignment="1">
      <alignment vertical="center"/>
    </xf>
    <xf numFmtId="164" fontId="1" fillId="4" borderId="37" xfId="2" applyNumberFormat="1" applyFill="1" applyBorder="1" applyAlignment="1">
      <alignment horizontal="center"/>
    </xf>
    <xf numFmtId="164" fontId="1" fillId="0" borderId="62" xfId="2" applyNumberFormat="1" applyBorder="1" applyAlignment="1">
      <alignment vertical="center"/>
    </xf>
    <xf numFmtId="0" fontId="1" fillId="2" borderId="23" xfId="2" applyFill="1" applyBorder="1" applyAlignment="1">
      <alignment horizontal="left"/>
    </xf>
    <xf numFmtId="0" fontId="9" fillId="0" borderId="20" xfId="0" applyFont="1" applyBorder="1"/>
    <xf numFmtId="0" fontId="9" fillId="0" borderId="0" xfId="0" applyFont="1"/>
    <xf numFmtId="0" fontId="9" fillId="0" borderId="19" xfId="0" applyFont="1" applyBorder="1"/>
    <xf numFmtId="0" fontId="14" fillId="5" borderId="26" xfId="2" applyFont="1" applyFill="1" applyBorder="1"/>
    <xf numFmtId="164" fontId="1" fillId="5" borderId="27" xfId="2" applyNumberFormat="1" applyFill="1" applyBorder="1" applyAlignment="1">
      <alignment horizontal="center"/>
    </xf>
    <xf numFmtId="0" fontId="1" fillId="5" borderId="27" xfId="2" applyFill="1" applyBorder="1" applyAlignment="1">
      <alignment horizontal="center"/>
    </xf>
    <xf numFmtId="164" fontId="1" fillId="4" borderId="13" xfId="2" applyNumberFormat="1" applyFill="1" applyBorder="1" applyAlignment="1">
      <alignment vertical="center"/>
    </xf>
    <xf numFmtId="164" fontId="1" fillId="4" borderId="1" xfId="2" applyNumberFormat="1" applyFill="1" applyBorder="1" applyAlignment="1">
      <alignment vertical="center"/>
    </xf>
    <xf numFmtId="0" fontId="1" fillId="4" borderId="31" xfId="2" applyFill="1" applyBorder="1" applyAlignment="1">
      <alignment horizontal="center"/>
    </xf>
    <xf numFmtId="164" fontId="1" fillId="4" borderId="9" xfId="2" applyNumberFormat="1" applyFill="1" applyBorder="1" applyAlignment="1">
      <alignment vertical="center"/>
    </xf>
    <xf numFmtId="164" fontId="1" fillId="5" borderId="11" xfId="2" applyNumberFormat="1" applyFill="1" applyBorder="1" applyAlignment="1">
      <alignment horizontal="center"/>
    </xf>
    <xf numFmtId="0" fontId="14" fillId="5" borderId="7" xfId="2" applyFont="1" applyFill="1" applyBorder="1"/>
    <xf numFmtId="0" fontId="1" fillId="4" borderId="15" xfId="2" applyFill="1" applyBorder="1" applyAlignment="1">
      <alignment horizontal="center"/>
    </xf>
    <xf numFmtId="0" fontId="16" fillId="4" borderId="16" xfId="2" applyFont="1" applyFill="1" applyBorder="1" applyAlignment="1">
      <alignment vertical="center"/>
    </xf>
    <xf numFmtId="164" fontId="1" fillId="4" borderId="16" xfId="2" applyNumberFormat="1" applyFill="1" applyBorder="1" applyAlignment="1">
      <alignment horizontal="center"/>
    </xf>
    <xf numFmtId="0" fontId="2" fillId="5" borderId="41" xfId="2" applyFont="1" applyFill="1" applyBorder="1" applyAlignment="1">
      <alignment horizontal="center" vertical="center"/>
    </xf>
    <xf numFmtId="0" fontId="15" fillId="5" borderId="25" xfId="2" applyFont="1" applyFill="1" applyBorder="1" applyAlignment="1">
      <alignment horizontal="center" vertical="center" wrapText="1"/>
    </xf>
    <xf numFmtId="0" fontId="16" fillId="2" borderId="16" xfId="2" applyFont="1" applyFill="1" applyBorder="1" applyAlignment="1">
      <alignment horizontal="left" vertical="center"/>
    </xf>
    <xf numFmtId="164" fontId="1" fillId="0" borderId="16" xfId="2" applyNumberFormat="1" applyBorder="1" applyAlignment="1">
      <alignment horizontal="center" vertical="center"/>
    </xf>
    <xf numFmtId="0" fontId="1" fillId="2" borderId="18" xfId="2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4" fontId="20" fillId="4" borderId="16" xfId="2" applyNumberFormat="1" applyFont="1" applyFill="1" applyBorder="1" applyAlignment="1">
      <alignment horizontal="center" vertical="center"/>
    </xf>
    <xf numFmtId="0" fontId="16" fillId="2" borderId="16" xfId="2" applyFont="1" applyFill="1" applyBorder="1" applyAlignment="1">
      <alignment vertical="center"/>
    </xf>
    <xf numFmtId="164" fontId="1" fillId="0" borderId="16" xfId="2" applyNumberFormat="1" applyBorder="1" applyAlignment="1">
      <alignment vertical="center"/>
    </xf>
    <xf numFmtId="0" fontId="1" fillId="2" borderId="18" xfId="2" applyFill="1" applyBorder="1" applyAlignment="1">
      <alignment horizontal="left"/>
    </xf>
    <xf numFmtId="0" fontId="14" fillId="5" borderId="43" xfId="2" applyFont="1" applyFill="1" applyBorder="1" applyAlignment="1">
      <alignment horizontal="left" vertical="center"/>
    </xf>
    <xf numFmtId="164" fontId="1" fillId="5" borderId="43" xfId="2" applyNumberFormat="1" applyFill="1" applyBorder="1" applyAlignment="1">
      <alignment horizontal="center" vertical="center"/>
    </xf>
    <xf numFmtId="0" fontId="1" fillId="5" borderId="45" xfId="2" applyFill="1" applyBorder="1" applyAlignment="1">
      <alignment horizontal="center" vertical="center"/>
    </xf>
    <xf numFmtId="164" fontId="1" fillId="5" borderId="46" xfId="2" applyNumberFormat="1" applyFill="1" applyBorder="1" applyAlignment="1">
      <alignment horizontal="center" vertical="center"/>
    </xf>
    <xf numFmtId="0" fontId="15" fillId="5" borderId="25" xfId="2" applyFont="1" applyFill="1" applyBorder="1" applyAlignment="1">
      <alignment vertical="center" wrapText="1"/>
    </xf>
    <xf numFmtId="0" fontId="1" fillId="2" borderId="14" xfId="2" applyFill="1" applyBorder="1" applyAlignment="1">
      <alignment vertical="center"/>
    </xf>
    <xf numFmtId="0" fontId="15" fillId="5" borderId="24" xfId="2" applyFont="1" applyFill="1" applyBorder="1" applyAlignment="1">
      <alignment vertical="center" wrapText="1"/>
    </xf>
    <xf numFmtId="164" fontId="1" fillId="5" borderId="7" xfId="2" applyNumberFormat="1" applyFill="1" applyBorder="1" applyAlignment="1">
      <alignment horizontal="center" vertical="center"/>
    </xf>
    <xf numFmtId="0" fontId="1" fillId="2" borderId="0" xfId="2" applyFill="1" applyAlignment="1">
      <alignment horizontal="center" vertical="center"/>
    </xf>
    <xf numFmtId="0" fontId="3" fillId="7" borderId="54" xfId="2" applyFont="1" applyFill="1" applyBorder="1" applyAlignment="1">
      <alignment horizontal="center" vertical="center" wrapText="1"/>
    </xf>
    <xf numFmtId="0" fontId="2" fillId="5" borderId="44" xfId="2" applyFont="1" applyFill="1" applyBorder="1" applyAlignment="1">
      <alignment horizontal="center"/>
    </xf>
    <xf numFmtId="0" fontId="16" fillId="4" borderId="1" xfId="2" applyFont="1" applyFill="1" applyBorder="1"/>
    <xf numFmtId="0" fontId="2" fillId="5" borderId="30" xfId="2" applyFont="1" applyFill="1" applyBorder="1" applyAlignment="1">
      <alignment horizontal="center"/>
    </xf>
    <xf numFmtId="0" fontId="16" fillId="2" borderId="13" xfId="2" applyFont="1" applyFill="1" applyBorder="1"/>
    <xf numFmtId="0" fontId="16" fillId="2" borderId="1" xfId="2" applyFont="1" applyFill="1" applyBorder="1"/>
    <xf numFmtId="0" fontId="11" fillId="0" borderId="33" xfId="0" applyFont="1" applyBorder="1" applyAlignment="1">
      <alignment horizontal="center" vertical="center"/>
    </xf>
    <xf numFmtId="164" fontId="18" fillId="0" borderId="35" xfId="0" applyNumberFormat="1" applyFont="1" applyBorder="1" applyAlignment="1">
      <alignment horizontal="center" vertical="center"/>
    </xf>
    <xf numFmtId="164" fontId="1" fillId="5" borderId="29" xfId="2" applyNumberFormat="1" applyFill="1" applyBorder="1" applyAlignment="1">
      <alignment vertical="center"/>
    </xf>
    <xf numFmtId="0" fontId="16" fillId="4" borderId="13" xfId="2" applyFont="1" applyFill="1" applyBorder="1"/>
    <xf numFmtId="0" fontId="1" fillId="4" borderId="14" xfId="2" applyFill="1" applyBorder="1" applyAlignment="1">
      <alignment horizontal="left"/>
    </xf>
    <xf numFmtId="0" fontId="7" fillId="0" borderId="48" xfId="0" applyFont="1" applyBorder="1" applyAlignment="1">
      <alignment horizontal="center" vertical="center"/>
    </xf>
    <xf numFmtId="11" fontId="2" fillId="2" borderId="49" xfId="0" applyNumberFormat="1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14" fontId="7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4" borderId="56" xfId="2" applyFill="1" applyBorder="1" applyAlignment="1">
      <alignment horizontal="center" vertical="center"/>
    </xf>
    <xf numFmtId="165" fontId="16" fillId="4" borderId="57" xfId="0" applyNumberFormat="1" applyFont="1" applyFill="1" applyBorder="1" applyAlignment="1">
      <alignment horizontal="left" vertical="center"/>
    </xf>
    <xf numFmtId="0" fontId="1" fillId="4" borderId="58" xfId="2" applyFill="1" applyBorder="1" applyAlignment="1">
      <alignment horizontal="center"/>
    </xf>
    <xf numFmtId="164" fontId="1" fillId="4" borderId="59" xfId="2" applyNumberFormat="1" applyFill="1" applyBorder="1" applyAlignment="1">
      <alignment vertical="center"/>
    </xf>
    <xf numFmtId="0" fontId="1" fillId="5" borderId="33" xfId="0" applyFont="1" applyFill="1" applyBorder="1" applyAlignment="1">
      <alignment horizontal="center" vertical="center"/>
    </xf>
    <xf numFmtId="165" fontId="16" fillId="5" borderId="34" xfId="0" applyNumberFormat="1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center"/>
    </xf>
    <xf numFmtId="164" fontId="1" fillId="5" borderId="35" xfId="0" applyNumberFormat="1" applyFont="1" applyFill="1" applyBorder="1"/>
    <xf numFmtId="0" fontId="23" fillId="4" borderId="13" xfId="0" applyFont="1" applyFill="1" applyBorder="1" applyAlignment="1">
      <alignment horizontal="center"/>
    </xf>
    <xf numFmtId="164" fontId="1" fillId="4" borderId="14" xfId="2" applyNumberFormat="1" applyFill="1" applyBorder="1" applyAlignment="1">
      <alignment vertical="center"/>
    </xf>
    <xf numFmtId="164" fontId="1" fillId="4" borderId="14" xfId="0" applyNumberFormat="1" applyFont="1" applyFill="1" applyBorder="1"/>
    <xf numFmtId="164" fontId="1" fillId="4" borderId="55" xfId="2" applyNumberFormat="1" applyFill="1" applyBorder="1" applyAlignment="1">
      <alignment vertical="center"/>
    </xf>
    <xf numFmtId="0" fontId="23" fillId="4" borderId="1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164" fontId="1" fillId="4" borderId="18" xfId="0" applyNumberFormat="1" applyFont="1" applyFill="1" applyBorder="1"/>
    <xf numFmtId="0" fontId="11" fillId="8" borderId="6" xfId="0" applyFont="1" applyFill="1" applyBorder="1" applyAlignment="1">
      <alignment horizontal="center" vertical="center" wrapText="1"/>
    </xf>
    <xf numFmtId="164" fontId="11" fillId="8" borderId="19" xfId="0" applyNumberFormat="1" applyFont="1" applyFill="1" applyBorder="1" applyAlignment="1">
      <alignment horizontal="right" vertical="center"/>
    </xf>
    <xf numFmtId="0" fontId="1" fillId="5" borderId="56" xfId="0" applyFont="1" applyFill="1" applyBorder="1" applyAlignment="1">
      <alignment horizontal="center" vertical="center"/>
    </xf>
    <xf numFmtId="165" fontId="16" fillId="5" borderId="57" xfId="0" applyNumberFormat="1" applyFont="1" applyFill="1" applyBorder="1" applyAlignment="1">
      <alignment horizontal="left" vertical="center"/>
    </xf>
    <xf numFmtId="164" fontId="1" fillId="5" borderId="59" xfId="0" applyNumberFormat="1" applyFont="1" applyFill="1" applyBorder="1"/>
    <xf numFmtId="0" fontId="9" fillId="5" borderId="57" xfId="0" applyFont="1" applyFill="1" applyBorder="1" applyAlignment="1">
      <alignment horizontal="center"/>
    </xf>
    <xf numFmtId="165" fontId="25" fillId="4" borderId="13" xfId="0" applyNumberFormat="1" applyFont="1" applyFill="1" applyBorder="1" applyAlignment="1">
      <alignment horizontal="left" vertical="center"/>
    </xf>
    <xf numFmtId="165" fontId="25" fillId="4" borderId="1" xfId="0" applyNumberFormat="1" applyFont="1" applyFill="1" applyBorder="1" applyAlignment="1">
      <alignment horizontal="left" vertical="center"/>
    </xf>
    <xf numFmtId="165" fontId="25" fillId="4" borderId="9" xfId="0" applyNumberFormat="1" applyFont="1" applyFill="1" applyBorder="1" applyAlignment="1">
      <alignment horizontal="left" vertical="center"/>
    </xf>
    <xf numFmtId="165" fontId="25" fillId="4" borderId="1" xfId="2" applyNumberFormat="1" applyFont="1" applyFill="1" applyBorder="1" applyAlignment="1">
      <alignment horizontal="left" vertical="center"/>
    </xf>
    <xf numFmtId="165" fontId="25" fillId="4" borderId="16" xfId="2" applyNumberFormat="1" applyFont="1" applyFill="1" applyBorder="1" applyAlignment="1">
      <alignment horizontal="left" vertical="center"/>
    </xf>
    <xf numFmtId="0" fontId="1" fillId="4" borderId="68" xfId="0" applyFont="1" applyFill="1" applyBorder="1" applyAlignment="1">
      <alignment horizontal="center" vertical="center"/>
    </xf>
    <xf numFmtId="164" fontId="1" fillId="4" borderId="69" xfId="0" applyNumberFormat="1" applyFont="1" applyFill="1" applyBorder="1"/>
    <xf numFmtId="0" fontId="8" fillId="11" borderId="19" xfId="2" applyFont="1" applyFill="1" applyBorder="1" applyAlignment="1">
      <alignment horizontal="left" vertical="center"/>
    </xf>
    <xf numFmtId="0" fontId="13" fillId="11" borderId="19" xfId="0" applyFont="1" applyFill="1" applyBorder="1" applyAlignment="1">
      <alignment horizontal="left"/>
    </xf>
    <xf numFmtId="0" fontId="13" fillId="11" borderId="19" xfId="0" applyFont="1" applyFill="1" applyBorder="1" applyAlignment="1">
      <alignment horizontal="left" vertical="center"/>
    </xf>
    <xf numFmtId="0" fontId="9" fillId="11" borderId="19" xfId="0" applyFont="1" applyFill="1" applyBorder="1"/>
    <xf numFmtId="0" fontId="9" fillId="11" borderId="19" xfId="0" applyFont="1" applyFill="1" applyBorder="1" applyAlignment="1">
      <alignment horizontal="left" vertical="center"/>
    </xf>
    <xf numFmtId="0" fontId="9" fillId="11" borderId="19" xfId="0" applyFont="1" applyFill="1" applyBorder="1" applyAlignment="1">
      <alignment vertical="center"/>
    </xf>
    <xf numFmtId="0" fontId="18" fillId="0" borderId="33" xfId="0" applyFont="1" applyBorder="1" applyAlignment="1">
      <alignment horizontal="center" vertical="center"/>
    </xf>
    <xf numFmtId="0" fontId="3" fillId="7" borderId="21" xfId="2" applyFont="1" applyFill="1" applyBorder="1" applyAlignment="1">
      <alignment horizontal="center" vertical="center"/>
    </xf>
    <xf numFmtId="0" fontId="7" fillId="7" borderId="19" xfId="2" applyFont="1" applyFill="1" applyBorder="1" applyAlignment="1">
      <alignment horizontal="center" vertical="center"/>
    </xf>
    <xf numFmtId="0" fontId="14" fillId="7" borderId="19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14" fillId="7" borderId="20" xfId="2" applyFont="1" applyFill="1" applyBorder="1" applyAlignment="1">
      <alignment horizontal="center" vertical="center"/>
    </xf>
    <xf numFmtId="0" fontId="14" fillId="7" borderId="21" xfId="2" applyFont="1" applyFill="1" applyBorder="1" applyAlignment="1">
      <alignment horizontal="center" vertical="center"/>
    </xf>
    <xf numFmtId="0" fontId="1" fillId="2" borderId="55" xfId="2" applyFill="1" applyBorder="1" applyAlignment="1">
      <alignment horizontal="center" vertical="center"/>
    </xf>
    <xf numFmtId="164" fontId="15" fillId="5" borderId="21" xfId="2" applyNumberFormat="1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left" vertical="center"/>
    </xf>
    <xf numFmtId="164" fontId="1" fillId="4" borderId="16" xfId="0" applyNumberFormat="1" applyFont="1" applyFill="1" applyBorder="1" applyAlignment="1">
      <alignment horizontal="center" vertical="center"/>
    </xf>
    <xf numFmtId="0" fontId="5" fillId="12" borderId="9" xfId="2" applyFont="1" applyFill="1" applyBorder="1" applyAlignment="1">
      <alignment horizontal="center"/>
    </xf>
    <xf numFmtId="0" fontId="1" fillId="12" borderId="13" xfId="2" applyFill="1" applyBorder="1" applyAlignment="1">
      <alignment horizontal="center" vertical="center"/>
    </xf>
    <xf numFmtId="0" fontId="1" fillId="12" borderId="1" xfId="2" applyFill="1" applyBorder="1" applyAlignment="1">
      <alignment horizontal="center" vertical="center"/>
    </xf>
    <xf numFmtId="0" fontId="0" fillId="12" borderId="0" xfId="0" applyFill="1"/>
    <xf numFmtId="0" fontId="1" fillId="12" borderId="26" xfId="2" applyFill="1" applyBorder="1" applyAlignment="1">
      <alignment horizontal="center"/>
    </xf>
    <xf numFmtId="0" fontId="1" fillId="12" borderId="7" xfId="2" applyFill="1" applyBorder="1" applyAlignment="1">
      <alignment horizontal="center"/>
    </xf>
    <xf numFmtId="0" fontId="1" fillId="12" borderId="31" xfId="2" applyFill="1" applyBorder="1" applyAlignment="1">
      <alignment horizontal="center"/>
    </xf>
    <xf numFmtId="0" fontId="1" fillId="12" borderId="7" xfId="2" applyFill="1" applyBorder="1" applyAlignment="1">
      <alignment horizontal="center" vertical="center"/>
    </xf>
    <xf numFmtId="0" fontId="1" fillId="12" borderId="1" xfId="2" applyFill="1" applyBorder="1" applyAlignment="1">
      <alignment horizontal="center"/>
    </xf>
    <xf numFmtId="0" fontId="1" fillId="12" borderId="9" xfId="2" applyFill="1" applyBorder="1" applyAlignment="1">
      <alignment horizontal="center"/>
    </xf>
    <xf numFmtId="0" fontId="1" fillId="12" borderId="13" xfId="2" applyFill="1" applyBorder="1" applyAlignment="1">
      <alignment horizontal="center"/>
    </xf>
    <xf numFmtId="0" fontId="1" fillId="12" borderId="17" xfId="2" applyFill="1" applyBorder="1" applyAlignment="1">
      <alignment horizontal="center"/>
    </xf>
    <xf numFmtId="0" fontId="26" fillId="5" borderId="28" xfId="2" applyFont="1" applyFill="1" applyBorder="1" applyAlignment="1">
      <alignment horizontal="center" vertical="center"/>
    </xf>
    <xf numFmtId="0" fontId="0" fillId="0" borderId="12" xfId="0" applyBorder="1"/>
    <xf numFmtId="0" fontId="9" fillId="4" borderId="5" xfId="0" applyFont="1" applyFill="1" applyBorder="1"/>
    <xf numFmtId="0" fontId="9" fillId="4" borderId="19" xfId="0" applyFont="1" applyFill="1" applyBorder="1"/>
    <xf numFmtId="164" fontId="5" fillId="4" borderId="39" xfId="2" applyNumberFormat="1" applyFont="1" applyFill="1" applyBorder="1" applyAlignment="1">
      <alignment horizontal="center"/>
    </xf>
    <xf numFmtId="0" fontId="7" fillId="4" borderId="40" xfId="2" applyFont="1" applyFill="1" applyBorder="1" applyAlignment="1">
      <alignment horizontal="left"/>
    </xf>
    <xf numFmtId="165" fontId="7" fillId="4" borderId="6" xfId="2" applyNumberFormat="1" applyFont="1" applyFill="1" applyBorder="1" applyAlignment="1">
      <alignment horizontal="center" vertical="center"/>
    </xf>
    <xf numFmtId="165" fontId="5" fillId="4" borderId="45" xfId="2" applyNumberFormat="1" applyFont="1" applyFill="1" applyBorder="1" applyAlignment="1">
      <alignment horizontal="left" vertical="center"/>
    </xf>
    <xf numFmtId="165" fontId="5" fillId="4" borderId="47" xfId="2" applyNumberFormat="1" applyFont="1" applyFill="1" applyBorder="1" applyAlignment="1">
      <alignment horizontal="left" vertical="center"/>
    </xf>
    <xf numFmtId="164" fontId="5" fillId="4" borderId="70" xfId="2" applyNumberFormat="1" applyFont="1" applyFill="1" applyBorder="1" applyAlignment="1">
      <alignment horizontal="center"/>
    </xf>
    <xf numFmtId="0" fontId="5" fillId="12" borderId="63" xfId="2" applyFont="1" applyFill="1" applyBorder="1" applyAlignment="1">
      <alignment horizontal="center"/>
    </xf>
    <xf numFmtId="165" fontId="5" fillId="4" borderId="40" xfId="2" applyNumberFormat="1" applyFont="1" applyFill="1" applyBorder="1" applyAlignment="1">
      <alignment horizontal="left" vertical="center"/>
    </xf>
    <xf numFmtId="165" fontId="7" fillId="4" borderId="12" xfId="2" applyNumberFormat="1" applyFont="1" applyFill="1" applyBorder="1" applyAlignment="1">
      <alignment horizontal="left" vertical="center"/>
    </xf>
    <xf numFmtId="165" fontId="7" fillId="4" borderId="5" xfId="2" applyNumberFormat="1" applyFont="1" applyFill="1" applyBorder="1" applyAlignment="1">
      <alignment horizontal="left" vertical="center"/>
    </xf>
    <xf numFmtId="0" fontId="7" fillId="2" borderId="4" xfId="2" applyFont="1" applyFill="1" applyBorder="1" applyAlignment="1">
      <alignment horizontal="center" vertical="center"/>
    </xf>
    <xf numFmtId="165" fontId="5" fillId="4" borderId="45" xfId="0" applyNumberFormat="1" applyFont="1" applyFill="1" applyBorder="1" applyAlignment="1">
      <alignment horizontal="left" vertical="center"/>
    </xf>
    <xf numFmtId="0" fontId="5" fillId="4" borderId="40" xfId="2" applyFont="1" applyFill="1" applyBorder="1" applyAlignment="1">
      <alignment horizontal="center"/>
    </xf>
    <xf numFmtId="165" fontId="7" fillId="4" borderId="47" xfId="2" applyNumberFormat="1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/>
    </xf>
    <xf numFmtId="165" fontId="7" fillId="4" borderId="6" xfId="0" applyNumberFormat="1" applyFont="1" applyFill="1" applyBorder="1" applyAlignment="1">
      <alignment horizontal="center" vertical="center"/>
    </xf>
    <xf numFmtId="165" fontId="7" fillId="4" borderId="47" xfId="0" applyNumberFormat="1" applyFont="1" applyFill="1" applyBorder="1" applyAlignment="1">
      <alignment horizontal="center" vertical="center"/>
    </xf>
    <xf numFmtId="0" fontId="1" fillId="2" borderId="55" xfId="2" applyFill="1" applyBorder="1" applyAlignment="1">
      <alignment horizontal="center" wrapText="1"/>
    </xf>
    <xf numFmtId="0" fontId="1" fillId="4" borderId="68" xfId="2" applyFill="1" applyBorder="1" applyAlignment="1">
      <alignment horizontal="center"/>
    </xf>
    <xf numFmtId="0" fontId="1" fillId="2" borderId="69" xfId="2" applyFill="1" applyBorder="1" applyAlignment="1">
      <alignment horizontal="left"/>
    </xf>
    <xf numFmtId="0" fontId="2" fillId="5" borderId="7" xfId="2" applyFont="1" applyFill="1" applyBorder="1" applyAlignment="1">
      <alignment horizontal="center"/>
    </xf>
    <xf numFmtId="0" fontId="15" fillId="5" borderId="10" xfId="2" applyFont="1" applyFill="1" applyBorder="1" applyAlignment="1">
      <alignment horizontal="center" vertical="center" wrapText="1"/>
    </xf>
    <xf numFmtId="164" fontId="16" fillId="5" borderId="10" xfId="2" applyNumberFormat="1" applyFont="1" applyFill="1" applyBorder="1" applyAlignment="1">
      <alignment horizontal="center" vertical="center"/>
    </xf>
    <xf numFmtId="0" fontId="1" fillId="2" borderId="28" xfId="2" applyFill="1" applyBorder="1" applyAlignment="1">
      <alignment horizontal="center" vertical="center"/>
    </xf>
    <xf numFmtId="164" fontId="1" fillId="0" borderId="1" xfId="2" applyNumberFormat="1" applyBorder="1" applyAlignment="1">
      <alignment horizontal="right" vertical="center"/>
    </xf>
    <xf numFmtId="0" fontId="16" fillId="5" borderId="24" xfId="2" applyFont="1" applyFill="1" applyBorder="1" applyAlignment="1">
      <alignment horizontal="center" vertical="center" wrapText="1"/>
    </xf>
    <xf numFmtId="0" fontId="1" fillId="12" borderId="31" xfId="2" applyFill="1" applyBorder="1" applyAlignment="1">
      <alignment horizontal="center" vertical="center"/>
    </xf>
    <xf numFmtId="0" fontId="1" fillId="12" borderId="26" xfId="2" applyFill="1" applyBorder="1" applyAlignment="1">
      <alignment horizontal="center" vertical="center"/>
    </xf>
    <xf numFmtId="9" fontId="15" fillId="5" borderId="11" xfId="2" applyNumberFormat="1" applyFont="1" applyFill="1" applyBorder="1" applyAlignment="1">
      <alignment horizontal="center" vertical="center"/>
    </xf>
    <xf numFmtId="0" fontId="14" fillId="5" borderId="7" xfId="2" applyFont="1" applyFill="1" applyBorder="1" applyAlignment="1">
      <alignment horizontal="left"/>
    </xf>
    <xf numFmtId="0" fontId="2" fillId="5" borderId="44" xfId="2" applyFont="1" applyFill="1" applyBorder="1" applyAlignment="1">
      <alignment horizontal="center" vertical="center"/>
    </xf>
    <xf numFmtId="0" fontId="3" fillId="7" borderId="70" xfId="2" applyFont="1" applyFill="1" applyBorder="1" applyAlignment="1">
      <alignment horizontal="center" vertical="center" wrapText="1"/>
    </xf>
    <xf numFmtId="0" fontId="2" fillId="7" borderId="22" xfId="2" applyFont="1" applyFill="1" applyBorder="1" applyAlignment="1">
      <alignment horizontal="center" vertical="center"/>
    </xf>
    <xf numFmtId="0" fontId="2" fillId="7" borderId="71" xfId="2" applyFont="1" applyFill="1" applyBorder="1" applyAlignment="1">
      <alignment horizontal="center" vertical="center"/>
    </xf>
    <xf numFmtId="164" fontId="2" fillId="7" borderId="48" xfId="2" applyNumberFormat="1" applyFont="1" applyFill="1" applyBorder="1" applyAlignment="1">
      <alignment horizontal="center" vertical="center"/>
    </xf>
    <xf numFmtId="0" fontId="16" fillId="5" borderId="10" xfId="2" applyFont="1" applyFill="1" applyBorder="1" applyAlignment="1">
      <alignment horizontal="center" vertical="center" wrapText="1"/>
    </xf>
    <xf numFmtId="0" fontId="2" fillId="5" borderId="38" xfId="2" applyFont="1" applyFill="1" applyBorder="1" applyAlignment="1">
      <alignment horizontal="center"/>
    </xf>
    <xf numFmtId="9" fontId="15" fillId="5" borderId="27" xfId="2" applyNumberFormat="1" applyFont="1" applyFill="1" applyBorder="1" applyAlignment="1">
      <alignment horizontal="center"/>
    </xf>
    <xf numFmtId="0" fontId="3" fillId="7" borderId="72" xfId="2" applyFont="1" applyFill="1" applyBorder="1" applyAlignment="1">
      <alignment horizontal="center" vertical="center" wrapText="1"/>
    </xf>
    <xf numFmtId="0" fontId="1" fillId="4" borderId="32" xfId="2" applyFill="1" applyBorder="1" applyAlignment="1">
      <alignment horizontal="center"/>
    </xf>
    <xf numFmtId="0" fontId="2" fillId="5" borderId="1" xfId="2" applyFont="1" applyFill="1" applyBorder="1" applyAlignment="1">
      <alignment horizontal="center" vertical="center"/>
    </xf>
    <xf numFmtId="164" fontId="1" fillId="0" borderId="9" xfId="2" applyNumberFormat="1" applyBorder="1" applyAlignment="1">
      <alignment horizontal="right" vertical="center"/>
    </xf>
    <xf numFmtId="0" fontId="15" fillId="5" borderId="24" xfId="2" applyFont="1" applyFill="1" applyBorder="1" applyAlignment="1">
      <alignment horizontal="center" wrapText="1"/>
    </xf>
    <xf numFmtId="0" fontId="1" fillId="4" borderId="10" xfId="2" applyFill="1" applyBorder="1" applyAlignment="1">
      <alignment horizontal="center" vertical="center"/>
    </xf>
    <xf numFmtId="0" fontId="1" fillId="4" borderId="73" xfId="2" applyFill="1" applyBorder="1" applyAlignment="1">
      <alignment horizontal="center" vertical="center"/>
    </xf>
    <xf numFmtId="14" fontId="7" fillId="7" borderId="5" xfId="2" applyNumberFormat="1" applyFont="1" applyFill="1" applyBorder="1" applyAlignment="1">
      <alignment horizontal="center" vertical="center"/>
    </xf>
    <xf numFmtId="0" fontId="2" fillId="5" borderId="45" xfId="2" applyFont="1" applyFill="1" applyBorder="1" applyAlignment="1">
      <alignment vertical="center"/>
    </xf>
    <xf numFmtId="0" fontId="2" fillId="5" borderId="54" xfId="2" applyFont="1" applyFill="1" applyBorder="1" applyAlignment="1">
      <alignment horizontal="center" vertical="center"/>
    </xf>
    <xf numFmtId="0" fontId="2" fillId="7" borderId="21" xfId="2" applyFont="1" applyFill="1" applyBorder="1" applyAlignment="1">
      <alignment horizontal="center" vertical="center"/>
    </xf>
    <xf numFmtId="0" fontId="0" fillId="0" borderId="54" xfId="0" applyBorder="1"/>
    <xf numFmtId="0" fontId="7" fillId="4" borderId="22" xfId="2" applyFont="1" applyFill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7" fillId="4" borderId="20" xfId="2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1" fillId="2" borderId="14" xfId="2" applyFill="1" applyBorder="1" applyAlignment="1">
      <alignment horizontal="left" vertical="center"/>
    </xf>
    <xf numFmtId="0" fontId="1" fillId="2" borderId="14" xfId="2" applyFill="1" applyBorder="1" applyAlignment="1">
      <alignment horizontal="left" wrapText="1"/>
    </xf>
    <xf numFmtId="0" fontId="2" fillId="4" borderId="3" xfId="2" applyFont="1" applyFill="1" applyBorder="1" applyAlignment="1">
      <alignment horizontal="center"/>
    </xf>
    <xf numFmtId="0" fontId="1" fillId="4" borderId="36" xfId="2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0" fontId="1" fillId="4" borderId="1" xfId="2" applyFill="1" applyBorder="1" applyAlignment="1">
      <alignment horizontal="center" vertical="center"/>
    </xf>
    <xf numFmtId="0" fontId="14" fillId="5" borderId="1" xfId="2" applyFont="1" applyFill="1" applyBorder="1"/>
    <xf numFmtId="164" fontId="1" fillId="5" borderId="1" xfId="2" applyNumberFormat="1" applyFill="1" applyBorder="1" applyAlignment="1">
      <alignment horizontal="center"/>
    </xf>
    <xf numFmtId="0" fontId="1" fillId="5" borderId="1" xfId="2" applyFill="1" applyBorder="1" applyAlignment="1">
      <alignment horizontal="center"/>
    </xf>
    <xf numFmtId="164" fontId="1" fillId="5" borderId="1" xfId="2" applyNumberFormat="1" applyFill="1" applyBorder="1"/>
    <xf numFmtId="0" fontId="2" fillId="10" borderId="68" xfId="2" applyFont="1" applyFill="1" applyBorder="1" applyAlignment="1">
      <alignment horizontal="center"/>
    </xf>
    <xf numFmtId="164" fontId="19" fillId="4" borderId="9" xfId="2" applyNumberFormat="1" applyFont="1" applyFill="1" applyBorder="1" applyAlignment="1">
      <alignment horizontal="center" vertical="center"/>
    </xf>
    <xf numFmtId="0" fontId="2" fillId="2" borderId="55" xfId="2" applyFont="1" applyFill="1" applyBorder="1" applyAlignment="1">
      <alignment horizontal="left"/>
    </xf>
    <xf numFmtId="0" fontId="9" fillId="0" borderId="34" xfId="0" applyFont="1" applyBorder="1"/>
    <xf numFmtId="0" fontId="1" fillId="12" borderId="9" xfId="2" applyFill="1" applyBorder="1" applyAlignment="1">
      <alignment horizontal="center" vertical="center"/>
    </xf>
    <xf numFmtId="0" fontId="14" fillId="5" borderId="1" xfId="2" applyFont="1" applyFill="1" applyBorder="1" applyAlignment="1">
      <alignment horizontal="left" vertical="center"/>
    </xf>
    <xf numFmtId="164" fontId="1" fillId="5" borderId="1" xfId="2" applyNumberFormat="1" applyFill="1" applyBorder="1" applyAlignment="1">
      <alignment horizontal="center" vertical="center"/>
    </xf>
    <xf numFmtId="0" fontId="1" fillId="5" borderId="1" xfId="2" applyFill="1" applyBorder="1" applyAlignment="1">
      <alignment horizontal="center" vertical="center"/>
    </xf>
    <xf numFmtId="164" fontId="20" fillId="4" borderId="9" xfId="2" applyNumberFormat="1" applyFont="1" applyFill="1" applyBorder="1" applyAlignment="1">
      <alignment horizontal="center" vertical="center"/>
    </xf>
    <xf numFmtId="0" fontId="14" fillId="5" borderId="1" xfId="2" applyFont="1" applyFill="1" applyBorder="1" applyAlignment="1">
      <alignment vertical="center"/>
    </xf>
    <xf numFmtId="0" fontId="15" fillId="5" borderId="1" xfId="2" applyFont="1" applyFill="1" applyBorder="1" applyAlignment="1">
      <alignment horizontal="center" vertical="center" wrapText="1"/>
    </xf>
    <xf numFmtId="0" fontId="1" fillId="4" borderId="74" xfId="2" applyFill="1" applyBorder="1" applyAlignment="1">
      <alignment horizontal="center"/>
    </xf>
    <xf numFmtId="0" fontId="1" fillId="4" borderId="9" xfId="2" applyFill="1" applyBorder="1" applyAlignment="1">
      <alignment horizontal="center" vertical="center"/>
    </xf>
    <xf numFmtId="0" fontId="2" fillId="2" borderId="55" xfId="2" applyFont="1" applyFill="1" applyBorder="1" applyAlignment="1">
      <alignment horizontal="center" vertical="center"/>
    </xf>
    <xf numFmtId="0" fontId="1" fillId="4" borderId="9" xfId="2" applyFill="1" applyBorder="1" applyAlignment="1">
      <alignment horizontal="center"/>
    </xf>
    <xf numFmtId="0" fontId="5" fillId="4" borderId="61" xfId="2" applyFont="1" applyFill="1" applyBorder="1" applyAlignment="1">
      <alignment horizontal="left"/>
    </xf>
    <xf numFmtId="0" fontId="5" fillId="4" borderId="6" xfId="2" applyFont="1" applyFill="1" applyBorder="1" applyAlignment="1">
      <alignment horizontal="left"/>
    </xf>
    <xf numFmtId="49" fontId="9" fillId="4" borderId="30" xfId="0" applyNumberFormat="1" applyFont="1" applyFill="1" applyBorder="1" applyAlignment="1">
      <alignment horizontal="left" vertical="center" wrapText="1" readingOrder="1"/>
    </xf>
    <xf numFmtId="49" fontId="9" fillId="4" borderId="11" xfId="0" applyNumberFormat="1" applyFont="1" applyFill="1" applyBorder="1" applyAlignment="1">
      <alignment horizontal="left" vertical="center" wrapText="1" readingOrder="1"/>
    </xf>
    <xf numFmtId="49" fontId="9" fillId="4" borderId="24" xfId="0" applyNumberFormat="1" applyFont="1" applyFill="1" applyBorder="1" applyAlignment="1">
      <alignment horizontal="left" vertical="center" wrapText="1" readingOrder="1"/>
    </xf>
    <xf numFmtId="49" fontId="9" fillId="4" borderId="15" xfId="0" applyNumberFormat="1" applyFont="1" applyFill="1" applyBorder="1" applyAlignment="1">
      <alignment horizontal="left" vertical="center" wrapText="1" readingOrder="1"/>
    </xf>
    <xf numFmtId="49" fontId="9" fillId="4" borderId="16" xfId="0" applyNumberFormat="1" applyFont="1" applyFill="1" applyBorder="1" applyAlignment="1">
      <alignment horizontal="left" vertical="center" wrapText="1" readingOrder="1"/>
    </xf>
    <xf numFmtId="49" fontId="9" fillId="4" borderId="18" xfId="0" applyNumberFormat="1" applyFont="1" applyFill="1" applyBorder="1" applyAlignment="1">
      <alignment horizontal="left" vertical="center" wrapText="1" readingOrder="1"/>
    </xf>
    <xf numFmtId="0" fontId="3" fillId="9" borderId="12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9" fontId="9" fillId="4" borderId="41" xfId="0" applyNumberFormat="1" applyFont="1" applyFill="1" applyBorder="1" applyAlignment="1">
      <alignment horizontal="left" vertical="center" wrapText="1" readingOrder="1"/>
    </xf>
    <xf numFmtId="49" fontId="9" fillId="4" borderId="42" xfId="0" applyNumberFormat="1" applyFont="1" applyFill="1" applyBorder="1" applyAlignment="1">
      <alignment horizontal="left" vertical="center" wrapText="1" readingOrder="1"/>
    </xf>
    <xf numFmtId="49" fontId="9" fillId="4" borderId="50" xfId="0" applyNumberFormat="1" applyFont="1" applyFill="1" applyBorder="1" applyAlignment="1">
      <alignment horizontal="left" vertical="center" wrapText="1" readingOrder="1"/>
    </xf>
    <xf numFmtId="49" fontId="9" fillId="4" borderId="3" xfId="0" applyNumberFormat="1" applyFont="1" applyFill="1" applyBorder="1" applyAlignment="1">
      <alignment horizontal="left" vertical="center" wrapText="1" readingOrder="1"/>
    </xf>
    <xf numFmtId="49" fontId="9" fillId="4" borderId="1" xfId="0" applyNumberFormat="1" applyFont="1" applyFill="1" applyBorder="1" applyAlignment="1">
      <alignment horizontal="left" vertical="center" wrapText="1" readingOrder="1"/>
    </xf>
    <xf numFmtId="49" fontId="9" fillId="4" borderId="14" xfId="0" applyNumberFormat="1" applyFont="1" applyFill="1" applyBorder="1" applyAlignment="1">
      <alignment horizontal="left" vertical="center" wrapText="1" readingOrder="1"/>
    </xf>
    <xf numFmtId="0" fontId="24" fillId="0" borderId="30" xfId="0" applyFont="1" applyBorder="1"/>
    <xf numFmtId="0" fontId="9" fillId="0" borderId="11" xfId="0" applyFont="1" applyBorder="1"/>
    <xf numFmtId="0" fontId="9" fillId="0" borderId="24" xfId="0" applyFont="1" applyBorder="1"/>
    <xf numFmtId="0" fontId="7" fillId="0" borderId="30" xfId="0" applyFont="1" applyBorder="1"/>
    <xf numFmtId="0" fontId="7" fillId="0" borderId="51" xfId="0" applyFont="1" applyBorder="1"/>
    <xf numFmtId="0" fontId="9" fillId="0" borderId="52" xfId="0" applyFont="1" applyBorder="1"/>
    <xf numFmtId="0" fontId="9" fillId="0" borderId="53" xfId="0" applyFont="1" applyBorder="1"/>
    <xf numFmtId="0" fontId="7" fillId="0" borderId="3" xfId="0" applyFont="1" applyBorder="1"/>
    <xf numFmtId="0" fontId="9" fillId="4" borderId="1" xfId="0" applyFont="1" applyFill="1" applyBorder="1"/>
    <xf numFmtId="0" fontId="9" fillId="0" borderId="14" xfId="0" applyFont="1" applyBorder="1"/>
    <xf numFmtId="0" fontId="24" fillId="0" borderId="3" xfId="0" applyFont="1" applyBorder="1"/>
    <xf numFmtId="0" fontId="7" fillId="0" borderId="44" xfId="0" applyFont="1" applyBorder="1"/>
    <xf numFmtId="0" fontId="9" fillId="0" borderId="45" xfId="0" applyFont="1" applyBorder="1"/>
    <xf numFmtId="0" fontId="9" fillId="0" borderId="25" xfId="0" applyFont="1" applyBorder="1"/>
    <xf numFmtId="0" fontId="14" fillId="0" borderId="2" xfId="0" applyFont="1" applyBorder="1" applyAlignment="1">
      <alignment horizontal="center" vertical="center" wrapText="1"/>
    </xf>
    <xf numFmtId="0" fontId="9" fillId="0" borderId="21" xfId="0" applyFont="1" applyBorder="1"/>
    <xf numFmtId="0" fontId="9" fillId="0" borderId="4" xfId="0" applyFont="1" applyBorder="1"/>
    <xf numFmtId="0" fontId="9" fillId="0" borderId="20" xfId="0" applyFont="1" applyBorder="1"/>
    <xf numFmtId="0" fontId="14" fillId="0" borderId="12" xfId="0" applyFont="1" applyBorder="1" applyAlignment="1">
      <alignment vertical="center"/>
    </xf>
    <xf numFmtId="0" fontId="9" fillId="0" borderId="19" xfId="0" applyFont="1" applyBorder="1"/>
    <xf numFmtId="0" fontId="17" fillId="3" borderId="12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22" fillId="3" borderId="47" xfId="0" applyFont="1" applyFill="1" applyBorder="1" applyAlignment="1">
      <alignment horizontal="left" vertical="center" wrapText="1"/>
    </xf>
    <xf numFmtId="0" fontId="22" fillId="3" borderId="40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1" fillId="0" borderId="47" xfId="0" applyFont="1" applyBorder="1"/>
    <xf numFmtId="0" fontId="9" fillId="0" borderId="48" xfId="0" applyFont="1" applyBorder="1"/>
    <xf numFmtId="0" fontId="9" fillId="0" borderId="40" xfId="0" applyFont="1" applyBorder="1"/>
    <xf numFmtId="0" fontId="2" fillId="0" borderId="47" xfId="0" applyFont="1" applyBorder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8" fillId="11" borderId="5" xfId="2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12" fillId="11" borderId="12" xfId="2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2" fillId="11" borderId="12" xfId="2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2" fillId="6" borderId="12" xfId="2" applyFont="1" applyFill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11" borderId="5" xfId="0" applyFont="1" applyFill="1" applyBorder="1" applyAlignment="1">
      <alignment horizontal="left" vertical="center"/>
    </xf>
    <xf numFmtId="0" fontId="9" fillId="11" borderId="19" xfId="0" applyFont="1" applyFill="1" applyBorder="1" applyAlignment="1">
      <alignment horizontal="left" vertical="center"/>
    </xf>
  </cellXfs>
  <cellStyles count="5">
    <cellStyle name="Euro" xfId="1" xr:uid="{00000000-0005-0000-0000-000000000000}"/>
    <cellStyle name="Euro 2" xfId="4" xr:uid="{DA88B00D-770F-49C2-9B9F-D22AAB159741}"/>
    <cellStyle name="Normal" xfId="0" builtinId="0"/>
    <cellStyle name="Normal 2" xfId="2" xr:uid="{00000000-0005-0000-0000-000002000000}"/>
    <cellStyle name="Normal 2 3" xfId="3" xr:uid="{00000000-0005-0000-0000-000003000000}"/>
  </cellStyles>
  <dxfs count="0"/>
  <tableStyles count="0" defaultTableStyle="TableStyleMedium9" defaultPivotStyle="PivotStyleLight16"/>
  <colors>
    <mruColors>
      <color rgb="FFFFCCFF"/>
      <color rgb="FFFF00FF"/>
      <color rgb="FFFFFF99"/>
      <color rgb="FFA793BF"/>
      <color rgb="FFFF66CC"/>
      <color rgb="FFFF99FF"/>
      <color rgb="FFFF66FF"/>
      <color rgb="FFB964EE"/>
      <color rgb="FFFFCC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3997226</xdr:colOff>
      <xdr:row>9</xdr:row>
      <xdr:rowOff>116053</xdr:rowOff>
    </xdr:from>
    <xdr:to>
      <xdr:col>3</xdr:col>
      <xdr:colOff>4467163</xdr:colOff>
      <xdr:row>9</xdr:row>
      <xdr:rowOff>550891</xdr:rowOff>
    </xdr:to>
    <xdr:pic>
      <xdr:nvPicPr>
        <xdr:cNvPr id="8194" name="Picture 2" descr="C:\Users\MT22\Downloads\WhatsApp Image 2025-04-29 at 12.45.16 AM.jpeg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3076177">
          <a:off x="6300776" y="5327728"/>
          <a:ext cx="434838" cy="46993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120389</xdr:colOff>
      <xdr:row>1</xdr:row>
      <xdr:rowOff>72799</xdr:rowOff>
    </xdr:from>
    <xdr:to>
      <xdr:col>0</xdr:col>
      <xdr:colOff>836332</xdr:colOff>
      <xdr:row>4</xdr:row>
      <xdr:rowOff>144030</xdr:rowOff>
    </xdr:to>
    <xdr:pic>
      <xdr:nvPicPr>
        <xdr:cNvPr id="3" name="Picture 2" descr="C:\Users\MT22\Downloads\WhatsApp Image 2025-04-29 at 12.45.16 AM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308085">
          <a:off x="120389" y="485549"/>
          <a:ext cx="715943" cy="674481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22/AppData/Roaming/Microsoft/Excel/PAC%20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fo\Desktop\PAC%20%202021.xls" TargetMode="External"/><Relationship Id="rId1" Type="http://schemas.openxmlformats.org/officeDocument/2006/relationships/externalLinkPath" Target="/Users/info/Desktop/PAC%20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fo\Desktop\PAC%20%202021%20actualizado.xls" TargetMode="External"/><Relationship Id="rId1" Type="http://schemas.openxmlformats.org/officeDocument/2006/relationships/externalLinkPath" Target="/Users/info/Desktop/PAC%20%202021%20actualizado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fo\Desktop\PAC%20%202021%20actualizado.xlsx" TargetMode="External"/><Relationship Id="rId1" Type="http://schemas.openxmlformats.org/officeDocument/2006/relationships/externalLinkPath" Target="/Users/info/Desktop/PAC%20%202021%20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sorios"/>
      <sheetName val="C.S.C.8 mm"/>
      <sheetName val="C.S.C.10 mm"/>
      <sheetName val="C.S.C.15 mm"/>
      <sheetName val="Correas S.C."/>
      <sheetName val="C.S.C.20 mm"/>
      <sheetName val="C.PO.15 mm"/>
      <sheetName val="C.PO. 20 mm"/>
      <sheetName val="C.25 mm"/>
      <sheetName val="C.30 mm"/>
      <sheetName val="Martingale"/>
      <sheetName val="C.GATOS"/>
      <sheetName val="Pretal 15 mm"/>
      <sheetName val="Pretal 10 mm"/>
      <sheetName val="Pretal 20 mm"/>
      <sheetName val="Pretal 25 mm"/>
      <sheetName val="Pretal 30 mm"/>
      <sheetName val="Collar pañuelo"/>
      <sheetName val="Cinturon Seguridad"/>
      <sheetName val="Collar ajustable"/>
      <sheetName val="Hoja1"/>
      <sheetName val="Hoja2"/>
      <sheetName val="Hoja3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">
          <cell r="U9">
            <v>2300</v>
          </cell>
        </row>
        <row r="12">
          <cell r="U12">
            <v>3200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sorios"/>
      <sheetName val="Collares 8mm"/>
      <sheetName val="Collares 10mm"/>
      <sheetName val="Collares15 mm"/>
      <sheetName val="Correas S.C."/>
      <sheetName val="C.S.C.20 mm"/>
      <sheetName val="C.PO.15 mm"/>
      <sheetName val="C.PO. 20 mm"/>
      <sheetName val="C.25 mm"/>
      <sheetName val="C.30 mm"/>
      <sheetName val="Martingale"/>
      <sheetName val="C.GATOS"/>
      <sheetName val="Pretal 10 mm"/>
      <sheetName val="Pretal 15 mm"/>
      <sheetName val="Pretal 20 mm"/>
      <sheetName val="Pretal 25 mm"/>
      <sheetName val="Pretal 30 mm"/>
      <sheetName val="Collar pañuelo"/>
      <sheetName val="Cinturon Seguridad"/>
      <sheetName val="Collar ajustable"/>
      <sheetName val="Hoja1"/>
      <sheetName val="Hoja2"/>
    </sheetNames>
    <sheetDataSet>
      <sheetData sheetId="0"/>
      <sheetData sheetId="1"/>
      <sheetData sheetId="2">
        <row r="3">
          <cell r="U3">
            <v>5500</v>
          </cell>
        </row>
        <row r="4">
          <cell r="U4">
            <v>4500</v>
          </cell>
        </row>
        <row r="9">
          <cell r="U9">
            <v>5800</v>
          </cell>
        </row>
        <row r="11">
          <cell r="U11">
            <v>8200</v>
          </cell>
        </row>
        <row r="13">
          <cell r="U13">
            <v>6800</v>
          </cell>
        </row>
        <row r="17">
          <cell r="U17">
            <v>5550</v>
          </cell>
        </row>
        <row r="22">
          <cell r="U22">
            <v>5800</v>
          </cell>
        </row>
        <row r="26">
          <cell r="U26">
            <v>5500</v>
          </cell>
        </row>
        <row r="28">
          <cell r="U28">
            <v>5500</v>
          </cell>
        </row>
        <row r="48">
          <cell r="U48">
            <v>5000</v>
          </cell>
        </row>
      </sheetData>
      <sheetData sheetId="3">
        <row r="9">
          <cell r="U9">
            <v>5950</v>
          </cell>
        </row>
        <row r="10">
          <cell r="U10">
            <v>7150</v>
          </cell>
        </row>
        <row r="12">
          <cell r="U12">
            <v>6550</v>
          </cell>
        </row>
        <row r="15">
          <cell r="U15">
            <v>6100</v>
          </cell>
        </row>
        <row r="21">
          <cell r="U21">
            <v>7750</v>
          </cell>
        </row>
        <row r="22">
          <cell r="U22">
            <v>5950</v>
          </cell>
        </row>
      </sheetData>
      <sheetData sheetId="4"/>
      <sheetData sheetId="5">
        <row r="4">
          <cell r="U4">
            <v>11300</v>
          </cell>
        </row>
        <row r="10">
          <cell r="U10">
            <v>7100</v>
          </cell>
        </row>
        <row r="20">
          <cell r="U20">
            <v>8300</v>
          </cell>
        </row>
        <row r="21">
          <cell r="U21">
            <v>5600</v>
          </cell>
        </row>
      </sheetData>
      <sheetData sheetId="6">
        <row r="3">
          <cell r="S3">
            <v>3970</v>
          </cell>
        </row>
        <row r="6">
          <cell r="S6">
            <v>5800</v>
          </cell>
        </row>
        <row r="7">
          <cell r="S7">
            <v>4300</v>
          </cell>
        </row>
        <row r="8">
          <cell r="S8">
            <v>5200</v>
          </cell>
        </row>
        <row r="28">
          <cell r="S28">
            <v>4550</v>
          </cell>
        </row>
        <row r="29">
          <cell r="S29">
            <v>4600</v>
          </cell>
        </row>
        <row r="30">
          <cell r="S30">
            <v>4650</v>
          </cell>
        </row>
        <row r="31">
          <cell r="S31">
            <v>4700</v>
          </cell>
        </row>
        <row r="34">
          <cell r="S34">
            <v>5200</v>
          </cell>
        </row>
        <row r="35">
          <cell r="S35">
            <v>5250</v>
          </cell>
        </row>
        <row r="36">
          <cell r="S36">
            <v>5300</v>
          </cell>
        </row>
        <row r="37">
          <cell r="S37">
            <v>5350</v>
          </cell>
        </row>
        <row r="40">
          <cell r="S40">
            <v>5800</v>
          </cell>
        </row>
        <row r="41">
          <cell r="S41">
            <v>5850</v>
          </cell>
        </row>
        <row r="42">
          <cell r="S42">
            <v>5900</v>
          </cell>
        </row>
        <row r="43">
          <cell r="S43">
            <v>5950</v>
          </cell>
        </row>
        <row r="44">
          <cell r="S44">
            <v>6000</v>
          </cell>
        </row>
        <row r="47">
          <cell r="S47">
            <v>4600</v>
          </cell>
        </row>
        <row r="48">
          <cell r="S48">
            <v>4650</v>
          </cell>
        </row>
        <row r="49">
          <cell r="S49">
            <v>4700</v>
          </cell>
        </row>
        <row r="50">
          <cell r="S50">
            <v>4750</v>
          </cell>
        </row>
      </sheetData>
      <sheetData sheetId="7">
        <row r="3">
          <cell r="R3">
            <v>4270</v>
          </cell>
        </row>
        <row r="24">
          <cell r="R24">
            <v>4500</v>
          </cell>
        </row>
        <row r="25">
          <cell r="R25">
            <v>4550</v>
          </cell>
        </row>
        <row r="26">
          <cell r="R26">
            <v>4600</v>
          </cell>
        </row>
        <row r="27">
          <cell r="R27">
            <v>4650</v>
          </cell>
        </row>
        <row r="30">
          <cell r="R30">
            <v>4600</v>
          </cell>
        </row>
        <row r="31">
          <cell r="R31">
            <v>4650</v>
          </cell>
        </row>
        <row r="32">
          <cell r="R32">
            <v>4700</v>
          </cell>
        </row>
        <row r="33">
          <cell r="R33">
            <v>4750</v>
          </cell>
        </row>
        <row r="34">
          <cell r="R34">
            <v>4800</v>
          </cell>
        </row>
        <row r="45">
          <cell r="R45">
            <v>5350</v>
          </cell>
        </row>
        <row r="46">
          <cell r="R46">
            <v>5400</v>
          </cell>
        </row>
        <row r="47">
          <cell r="R47">
            <v>5450</v>
          </cell>
        </row>
        <row r="48">
          <cell r="R48">
            <v>5500</v>
          </cell>
        </row>
        <row r="51">
          <cell r="R51">
            <v>5550</v>
          </cell>
        </row>
        <row r="52">
          <cell r="R52">
            <v>5600</v>
          </cell>
        </row>
        <row r="53">
          <cell r="R53">
            <v>5650</v>
          </cell>
        </row>
        <row r="54">
          <cell r="R54">
            <v>5700</v>
          </cell>
        </row>
        <row r="60">
          <cell r="R60">
            <v>5300</v>
          </cell>
        </row>
        <row r="61">
          <cell r="R61">
            <v>5350</v>
          </cell>
        </row>
        <row r="62">
          <cell r="R62">
            <v>5400</v>
          </cell>
        </row>
        <row r="63">
          <cell r="R63">
            <v>5450</v>
          </cell>
        </row>
        <row r="64">
          <cell r="R64">
            <v>5500</v>
          </cell>
        </row>
      </sheetData>
      <sheetData sheetId="8">
        <row r="3">
          <cell r="S3">
            <v>5150</v>
          </cell>
        </row>
        <row r="7">
          <cell r="S7">
            <v>5450</v>
          </cell>
        </row>
        <row r="8">
          <cell r="S8">
            <v>6300</v>
          </cell>
        </row>
        <row r="27">
          <cell r="S27">
            <v>5100</v>
          </cell>
        </row>
        <row r="28">
          <cell r="S28">
            <v>5150</v>
          </cell>
        </row>
        <row r="29">
          <cell r="S29">
            <v>5200</v>
          </cell>
        </row>
        <row r="30">
          <cell r="S30">
            <v>5250</v>
          </cell>
        </row>
        <row r="33">
          <cell r="S33">
            <v>7750</v>
          </cell>
        </row>
        <row r="34">
          <cell r="S34">
            <v>7800</v>
          </cell>
        </row>
        <row r="35">
          <cell r="S35">
            <v>7850</v>
          </cell>
        </row>
        <row r="36">
          <cell r="S36">
            <v>7900</v>
          </cell>
        </row>
        <row r="37">
          <cell r="S37">
            <v>7950</v>
          </cell>
        </row>
        <row r="38">
          <cell r="S38">
            <v>8000</v>
          </cell>
        </row>
        <row r="41">
          <cell r="S41">
            <v>5250</v>
          </cell>
        </row>
        <row r="42">
          <cell r="S42">
            <v>5300</v>
          </cell>
        </row>
        <row r="43">
          <cell r="S43">
            <v>5350</v>
          </cell>
        </row>
        <row r="44">
          <cell r="S44">
            <v>5400</v>
          </cell>
        </row>
        <row r="55">
          <cell r="S55">
            <v>5950</v>
          </cell>
        </row>
        <row r="56">
          <cell r="S56">
            <v>6000</v>
          </cell>
        </row>
        <row r="57">
          <cell r="S57">
            <v>6050</v>
          </cell>
        </row>
        <row r="58">
          <cell r="S58">
            <v>6100</v>
          </cell>
        </row>
      </sheetData>
      <sheetData sheetId="9">
        <row r="3">
          <cell r="V3">
            <v>5500</v>
          </cell>
        </row>
        <row r="8">
          <cell r="V8">
            <v>6500</v>
          </cell>
        </row>
        <row r="26">
          <cell r="V26">
            <v>5700</v>
          </cell>
        </row>
        <row r="28">
          <cell r="V28">
            <v>5750</v>
          </cell>
        </row>
        <row r="30">
          <cell r="V30">
            <v>5800</v>
          </cell>
        </row>
        <row r="33">
          <cell r="V33">
            <v>5850</v>
          </cell>
        </row>
        <row r="35">
          <cell r="V35">
            <v>5900</v>
          </cell>
        </row>
        <row r="37">
          <cell r="V37">
            <v>5950</v>
          </cell>
        </row>
        <row r="56">
          <cell r="V56">
            <v>6300</v>
          </cell>
        </row>
        <row r="57">
          <cell r="V57">
            <v>6350</v>
          </cell>
        </row>
        <row r="58">
          <cell r="V58">
            <v>6400</v>
          </cell>
        </row>
        <row r="60">
          <cell r="V60">
            <v>7400</v>
          </cell>
        </row>
        <row r="61">
          <cell r="V61">
            <v>7450</v>
          </cell>
        </row>
        <row r="62">
          <cell r="V62">
            <v>7500</v>
          </cell>
        </row>
        <row r="68">
          <cell r="V68">
            <v>6550</v>
          </cell>
        </row>
        <row r="69">
          <cell r="V69">
            <v>6600</v>
          </cell>
        </row>
        <row r="70">
          <cell r="V70">
            <v>6650</v>
          </cell>
        </row>
        <row r="72">
          <cell r="V72">
            <v>7400</v>
          </cell>
        </row>
        <row r="73">
          <cell r="V73">
            <v>7450</v>
          </cell>
        </row>
        <row r="74">
          <cell r="V74">
            <v>7500</v>
          </cell>
        </row>
        <row r="98">
          <cell r="V98">
            <v>8300</v>
          </cell>
        </row>
        <row r="99">
          <cell r="V99">
            <v>8350</v>
          </cell>
        </row>
        <row r="100">
          <cell r="V100">
            <v>8400</v>
          </cell>
        </row>
      </sheetData>
      <sheetData sheetId="10">
        <row r="5">
          <cell r="V5">
            <v>8300</v>
          </cell>
        </row>
        <row r="7">
          <cell r="V7">
            <v>8700</v>
          </cell>
        </row>
        <row r="8">
          <cell r="V8">
            <v>8750</v>
          </cell>
        </row>
        <row r="9">
          <cell r="V9">
            <v>8800</v>
          </cell>
        </row>
        <row r="10">
          <cell r="V10">
            <v>8850</v>
          </cell>
        </row>
        <row r="11">
          <cell r="V11">
            <v>8900</v>
          </cell>
        </row>
        <row r="12">
          <cell r="V12">
            <v>8950</v>
          </cell>
        </row>
        <row r="19">
          <cell r="V19">
            <v>7200</v>
          </cell>
        </row>
        <row r="20">
          <cell r="V20">
            <v>7500</v>
          </cell>
        </row>
        <row r="35">
          <cell r="V35">
            <v>8150</v>
          </cell>
        </row>
        <row r="36">
          <cell r="V36">
            <v>8450</v>
          </cell>
        </row>
      </sheetData>
      <sheetData sheetId="11">
        <row r="6">
          <cell r="Z6">
            <v>3300</v>
          </cell>
        </row>
        <row r="7">
          <cell r="Z7">
            <v>3100</v>
          </cell>
        </row>
        <row r="8">
          <cell r="Z8">
            <v>3450</v>
          </cell>
        </row>
        <row r="11">
          <cell r="Z11">
            <v>4200</v>
          </cell>
        </row>
        <row r="12">
          <cell r="Z12">
            <v>4600</v>
          </cell>
        </row>
        <row r="13">
          <cell r="Z13">
            <v>4900</v>
          </cell>
        </row>
        <row r="14">
          <cell r="U14">
            <v>4600</v>
          </cell>
          <cell r="Z14">
            <v>3150</v>
          </cell>
        </row>
        <row r="15">
          <cell r="Z15">
            <v>4350</v>
          </cell>
        </row>
        <row r="53">
          <cell r="U53">
            <v>2850</v>
          </cell>
        </row>
      </sheetData>
      <sheetData sheetId="12">
        <row r="5">
          <cell r="S5">
            <v>3500</v>
          </cell>
        </row>
      </sheetData>
      <sheetData sheetId="13"/>
      <sheetData sheetId="14">
        <row r="58">
          <cell r="S58">
            <v>12900</v>
          </cell>
        </row>
      </sheetData>
      <sheetData sheetId="15">
        <row r="38">
          <cell r="S38">
            <v>13600</v>
          </cell>
        </row>
      </sheetData>
      <sheetData sheetId="16">
        <row r="51">
          <cell r="S51">
            <v>17800</v>
          </cell>
        </row>
      </sheetData>
      <sheetData sheetId="17"/>
      <sheetData sheetId="18"/>
      <sheetData sheetId="19">
        <row r="3">
          <cell r="U3">
            <v>4350</v>
          </cell>
        </row>
        <row r="4">
          <cell r="U4">
            <v>4650</v>
          </cell>
        </row>
        <row r="5">
          <cell r="U5">
            <v>4800</v>
          </cell>
        </row>
        <row r="6">
          <cell r="U6">
            <v>4950</v>
          </cell>
        </row>
        <row r="22">
          <cell r="U22">
            <v>4950</v>
          </cell>
        </row>
        <row r="24">
          <cell r="U24">
            <v>5400</v>
          </cell>
        </row>
        <row r="37">
          <cell r="U37">
            <v>4850</v>
          </cell>
        </row>
        <row r="39">
          <cell r="U39">
            <v>5500</v>
          </cell>
        </row>
        <row r="50">
          <cell r="U50">
            <v>5400</v>
          </cell>
        </row>
        <row r="52">
          <cell r="U52">
            <v>6400</v>
          </cell>
        </row>
        <row r="64">
          <cell r="U64">
            <v>5800</v>
          </cell>
        </row>
        <row r="66">
          <cell r="U66">
            <v>6800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sorios"/>
      <sheetName val="Collares 8mm"/>
      <sheetName val="Collares 10mm"/>
      <sheetName val="Collares15 mm"/>
      <sheetName val="Correas S.C."/>
      <sheetName val="C.S.C.20 mm"/>
      <sheetName val="C.PO.15 mm"/>
      <sheetName val="C.PO. 20 mm"/>
      <sheetName val="C.25 mm"/>
      <sheetName val="C.30 mm"/>
      <sheetName val="Martingale"/>
      <sheetName val="C.GATOS"/>
      <sheetName val="Pretal 10 mm"/>
      <sheetName val="Pretal 15 mm"/>
      <sheetName val="Pretal 20 mm"/>
      <sheetName val="Pretal 25 mm"/>
      <sheetName val="Pretal 30 mm"/>
      <sheetName val="Collar pañuelo"/>
      <sheetName val="Cinturon Seguridad"/>
      <sheetName val="Collar ajustable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S7">
            <v>4300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8">
          <cell r="S68">
            <v>14100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sorios"/>
      <sheetName val="Collares 8mm"/>
      <sheetName val="Collares 10mm"/>
      <sheetName val="Collares15 mm"/>
      <sheetName val="Correas S.C."/>
      <sheetName val="C.S.C.20 mm"/>
      <sheetName val="C.PO.15 mm"/>
      <sheetName val="C.PO. 20 mm"/>
      <sheetName val="C.25 mm"/>
      <sheetName val="C.30 mm"/>
      <sheetName val="Martingale"/>
      <sheetName val="C.GATOS"/>
      <sheetName val="Pretal 10 mm"/>
      <sheetName val="Pretal 15 mm"/>
      <sheetName val="Pretal 20 mm"/>
      <sheetName val="Pretal 25 mm"/>
      <sheetName val="Pretal 30 mm"/>
      <sheetName val="Collar pañuelo"/>
      <sheetName val="Cinturon Seguridad"/>
      <sheetName val="Collar ajustable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R3">
            <v>4350</v>
          </cell>
        </row>
        <row r="4">
          <cell r="R4">
            <v>6200</v>
          </cell>
        </row>
        <row r="5">
          <cell r="R5">
            <v>4650</v>
          </cell>
        </row>
      </sheetData>
      <sheetData sheetId="8">
        <row r="7">
          <cell r="S7">
            <v>5450</v>
          </cell>
        </row>
      </sheetData>
      <sheetData sheetId="9">
        <row r="3">
          <cell r="V3">
            <v>5760</v>
          </cell>
        </row>
        <row r="4">
          <cell r="V4">
            <v>6150</v>
          </cell>
        </row>
        <row r="8">
          <cell r="V8">
            <v>6600</v>
          </cell>
        </row>
      </sheetData>
      <sheetData sheetId="10">
        <row r="47">
          <cell r="V47">
            <v>6500</v>
          </cell>
        </row>
        <row r="49">
          <cell r="V49">
            <v>6900</v>
          </cell>
        </row>
        <row r="52">
          <cell r="V52">
            <v>7400</v>
          </cell>
        </row>
        <row r="53">
          <cell r="V53">
            <v>6600</v>
          </cell>
        </row>
      </sheetData>
      <sheetData sheetId="11"/>
      <sheetData sheetId="12">
        <row r="5">
          <cell r="S5">
            <v>3500</v>
          </cell>
        </row>
        <row r="38">
          <cell r="S38">
            <v>13550</v>
          </cell>
        </row>
      </sheetData>
      <sheetData sheetId="13"/>
      <sheetData sheetId="14">
        <row r="58">
          <cell r="S58">
            <v>14800</v>
          </cell>
        </row>
      </sheetData>
      <sheetData sheetId="15">
        <row r="38">
          <cell r="S38">
            <v>15600</v>
          </cell>
        </row>
      </sheetData>
      <sheetData sheetId="16">
        <row r="46">
          <cell r="S46">
            <v>16500</v>
          </cell>
        </row>
        <row r="51">
          <cell r="S51">
            <v>19800</v>
          </cell>
        </row>
        <row r="59">
          <cell r="S59">
            <v>22800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zoomScale="90" zoomScaleNormal="90" workbookViewId="0">
      <selection activeCell="A3" sqref="A3:D3"/>
    </sheetView>
  </sheetViews>
  <sheetFormatPr baseColWidth="10" defaultRowHeight="14.4" x14ac:dyDescent="0.3"/>
  <cols>
    <col min="4" max="4" width="72.109375" customWidth="1"/>
  </cols>
  <sheetData>
    <row r="1" spans="1:11" ht="34.5" customHeight="1" thickBot="1" x14ac:dyDescent="0.35">
      <c r="A1" s="348" t="s">
        <v>234</v>
      </c>
      <c r="B1" s="349"/>
      <c r="C1" s="349"/>
      <c r="D1" s="350"/>
    </row>
    <row r="2" spans="1:11" ht="19.5" customHeight="1" thickBot="1" x14ac:dyDescent="0.35">
      <c r="A2" s="351" t="s">
        <v>259</v>
      </c>
      <c r="B2" s="352"/>
      <c r="C2" s="352"/>
      <c r="D2" s="353"/>
    </row>
    <row r="3" spans="1:11" ht="51.75" customHeight="1" x14ac:dyDescent="0.3">
      <c r="A3" s="354" t="s">
        <v>555</v>
      </c>
      <c r="B3" s="355"/>
      <c r="C3" s="355"/>
      <c r="D3" s="356"/>
      <c r="E3" s="10"/>
      <c r="F3" s="10"/>
      <c r="G3" s="10"/>
      <c r="H3" s="10"/>
      <c r="I3" s="10"/>
      <c r="J3" s="10"/>
      <c r="K3" s="10"/>
    </row>
    <row r="4" spans="1:11" ht="92.25" customHeight="1" x14ac:dyDescent="0.3">
      <c r="A4" s="342" t="s">
        <v>556</v>
      </c>
      <c r="B4" s="343"/>
      <c r="C4" s="343"/>
      <c r="D4" s="344"/>
      <c r="E4" s="10"/>
      <c r="F4" s="10"/>
      <c r="G4" s="10"/>
      <c r="H4" s="10"/>
      <c r="I4" s="10"/>
      <c r="J4" s="10"/>
      <c r="K4" s="10"/>
    </row>
    <row r="5" spans="1:11" ht="84" customHeight="1" x14ac:dyDescent="0.3">
      <c r="A5" s="357" t="s">
        <v>577</v>
      </c>
      <c r="B5" s="358"/>
      <c r="C5" s="358"/>
      <c r="D5" s="359"/>
      <c r="E5" s="10"/>
      <c r="F5" s="10"/>
      <c r="H5" s="10"/>
      <c r="I5" s="10"/>
      <c r="J5" s="10"/>
      <c r="K5" s="10"/>
    </row>
    <row r="6" spans="1:11" ht="61.5" customHeight="1" x14ac:dyDescent="0.3">
      <c r="A6" s="357" t="s">
        <v>557</v>
      </c>
      <c r="B6" s="358"/>
      <c r="C6" s="358"/>
      <c r="D6" s="359"/>
      <c r="E6" s="10"/>
      <c r="F6" s="10"/>
      <c r="G6" s="10"/>
      <c r="H6" s="10"/>
      <c r="I6" s="10"/>
      <c r="J6" s="10"/>
      <c r="K6" s="10"/>
    </row>
    <row r="7" spans="1:11" ht="49.5" customHeight="1" x14ac:dyDescent="0.3">
      <c r="A7" s="357" t="s">
        <v>558</v>
      </c>
      <c r="B7" s="358"/>
      <c r="C7" s="358"/>
      <c r="D7" s="359"/>
      <c r="E7" s="10"/>
      <c r="F7" s="10"/>
      <c r="H7" s="10"/>
      <c r="I7" s="10"/>
      <c r="J7" s="10"/>
      <c r="K7" s="10"/>
    </row>
    <row r="8" spans="1:11" ht="56.25" customHeight="1" x14ac:dyDescent="0.3">
      <c r="A8" s="342" t="s">
        <v>575</v>
      </c>
      <c r="B8" s="343"/>
      <c r="C8" s="343"/>
      <c r="D8" s="344"/>
      <c r="E8" s="10"/>
      <c r="F8" s="10"/>
      <c r="G8" s="10"/>
      <c r="H8" s="10"/>
      <c r="I8" s="10"/>
      <c r="J8" s="10"/>
      <c r="K8" s="10"/>
    </row>
    <row r="9" spans="1:11" ht="56.25" customHeight="1" x14ac:dyDescent="0.3">
      <c r="A9" s="342" t="s">
        <v>576</v>
      </c>
      <c r="B9" s="343"/>
      <c r="C9" s="343"/>
      <c r="D9" s="344"/>
      <c r="E9" s="10"/>
      <c r="F9" s="10"/>
      <c r="G9" s="10"/>
      <c r="H9" s="10"/>
      <c r="I9" s="10"/>
      <c r="J9" s="10"/>
      <c r="K9" s="10"/>
    </row>
    <row r="10" spans="1:11" ht="51.75" customHeight="1" thickBot="1" x14ac:dyDescent="0.35">
      <c r="A10" s="345" t="s">
        <v>574</v>
      </c>
      <c r="B10" s="346"/>
      <c r="C10" s="346"/>
      <c r="D10" s="347"/>
      <c r="E10" s="10"/>
      <c r="F10" s="10"/>
      <c r="G10" s="10"/>
      <c r="H10" s="10"/>
      <c r="I10" s="10"/>
      <c r="J10" s="10"/>
      <c r="K10" s="10"/>
    </row>
  </sheetData>
  <mergeCells count="10">
    <mergeCell ref="A9:D9"/>
    <mergeCell ref="A10:D10"/>
    <mergeCell ref="A1:D1"/>
    <mergeCell ref="A2:D2"/>
    <mergeCell ref="A3:D3"/>
    <mergeCell ref="A4:D4"/>
    <mergeCell ref="A5:D5"/>
    <mergeCell ref="A6:D6"/>
    <mergeCell ref="A7:D7"/>
    <mergeCell ref="A8:D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zoomScale="90" zoomScaleNormal="90" workbookViewId="0">
      <selection activeCell="F6" sqref="F6"/>
    </sheetView>
  </sheetViews>
  <sheetFormatPr baseColWidth="10" defaultRowHeight="14.4" x14ac:dyDescent="0.3"/>
  <cols>
    <col min="1" max="1" width="14.6640625" customWidth="1"/>
    <col min="2" max="2" width="55.5546875" customWidth="1"/>
    <col min="4" max="4" width="21.6640625" customWidth="1"/>
    <col min="5" max="5" width="17.6640625" customWidth="1"/>
  </cols>
  <sheetData>
    <row r="1" spans="1:4" ht="16.95" customHeight="1" x14ac:dyDescent="0.3">
      <c r="A1" s="388"/>
      <c r="B1" s="391" t="s">
        <v>203</v>
      </c>
      <c r="C1" s="374" t="s">
        <v>204</v>
      </c>
      <c r="D1" s="375"/>
    </row>
    <row r="2" spans="1:4" ht="15" customHeight="1" thickBot="1" x14ac:dyDescent="0.35">
      <c r="A2" s="389"/>
      <c r="B2" s="392"/>
      <c r="C2" s="376"/>
      <c r="D2" s="377"/>
    </row>
    <row r="3" spans="1:4" ht="16.2" thickBot="1" x14ac:dyDescent="0.35">
      <c r="A3" s="389"/>
      <c r="B3" s="186" t="s">
        <v>205</v>
      </c>
      <c r="C3" s="378" t="s">
        <v>215</v>
      </c>
      <c r="D3" s="379"/>
    </row>
    <row r="4" spans="1:4" ht="15" thickBot="1" x14ac:dyDescent="0.35">
      <c r="A4" s="389"/>
      <c r="B4" s="187" t="s">
        <v>206</v>
      </c>
      <c r="C4" s="380" t="s">
        <v>210</v>
      </c>
      <c r="D4" s="381"/>
    </row>
    <row r="5" spans="1:4" ht="15" customHeight="1" x14ac:dyDescent="0.3">
      <c r="A5" s="389"/>
      <c r="B5" s="382" t="s">
        <v>267</v>
      </c>
      <c r="C5" s="384"/>
      <c r="D5" s="385"/>
    </row>
    <row r="6" spans="1:4" ht="15.75" customHeight="1" thickBot="1" x14ac:dyDescent="0.35">
      <c r="A6" s="390"/>
      <c r="B6" s="383"/>
      <c r="C6" s="386"/>
      <c r="D6" s="387"/>
    </row>
    <row r="7" spans="1:4" ht="17.399999999999999" customHeight="1" thickBot="1" x14ac:dyDescent="0.35">
      <c r="A7" s="188" t="s">
        <v>207</v>
      </c>
      <c r="B7" s="189" t="s">
        <v>208</v>
      </c>
      <c r="C7" s="393" t="s">
        <v>209</v>
      </c>
      <c r="D7" s="394"/>
    </row>
    <row r="8" spans="1:4" ht="17.399999999999999" customHeight="1" thickBot="1" x14ac:dyDescent="0.35">
      <c r="A8" s="7"/>
      <c r="B8" s="190" t="s">
        <v>554</v>
      </c>
      <c r="C8" s="395"/>
      <c r="D8" s="396"/>
    </row>
    <row r="9" spans="1:4" ht="24" customHeight="1" thickBot="1" x14ac:dyDescent="0.35">
      <c r="A9" s="191" t="s">
        <v>0</v>
      </c>
      <c r="B9" s="192" t="s">
        <v>1</v>
      </c>
      <c r="C9" s="193" t="s">
        <v>266</v>
      </c>
      <c r="D9" s="194" t="s">
        <v>3</v>
      </c>
    </row>
    <row r="10" spans="1:4" ht="15" customHeight="1" thickBot="1" x14ac:dyDescent="0.35">
      <c r="A10" s="195" t="s">
        <v>573</v>
      </c>
      <c r="B10" s="196" t="s">
        <v>212</v>
      </c>
      <c r="C10" s="197">
        <f>+'Gatos Ancho 10mm'!D45</f>
        <v>0</v>
      </c>
      <c r="D10" s="198">
        <f>+'Gatos Ancho 10mm'!E45:E45</f>
        <v>0</v>
      </c>
    </row>
    <row r="11" spans="1:4" ht="7.95" customHeight="1" thickBot="1" x14ac:dyDescent="0.35">
      <c r="A11" s="199"/>
      <c r="B11" s="200"/>
      <c r="C11" s="201"/>
      <c r="D11" s="202"/>
    </row>
    <row r="12" spans="1:4" ht="15" customHeight="1" x14ac:dyDescent="0.3">
      <c r="A12" s="222">
        <v>1000</v>
      </c>
      <c r="B12" s="217" t="s">
        <v>559</v>
      </c>
      <c r="C12" s="203">
        <f>+'Perros Ancho 10mm'!D48</f>
        <v>0</v>
      </c>
      <c r="D12" s="223">
        <f>+'Perros Ancho 10mm'!E48</f>
        <v>0</v>
      </c>
    </row>
    <row r="13" spans="1:4" ht="15" customHeight="1" x14ac:dyDescent="0.3">
      <c r="A13" s="50">
        <v>1500</v>
      </c>
      <c r="B13" s="218" t="s">
        <v>560</v>
      </c>
      <c r="C13" s="128">
        <f>+'Ancho 15mm'!D61</f>
        <v>0</v>
      </c>
      <c r="D13" s="204">
        <f>+'Ancho 15mm'!E61</f>
        <v>0</v>
      </c>
    </row>
    <row r="14" spans="1:4" ht="15" customHeight="1" x14ac:dyDescent="0.3">
      <c r="A14" s="50">
        <v>2000</v>
      </c>
      <c r="B14" s="218" t="s">
        <v>561</v>
      </c>
      <c r="C14" s="128">
        <f>+'Ancho 20mm'!D64</f>
        <v>0</v>
      </c>
      <c r="D14" s="204">
        <f>+'Ancho 20mm'!E64</f>
        <v>0</v>
      </c>
    </row>
    <row r="15" spans="1:4" ht="15" customHeight="1" x14ac:dyDescent="0.3">
      <c r="A15" s="50">
        <v>2500</v>
      </c>
      <c r="B15" s="218" t="s">
        <v>562</v>
      </c>
      <c r="C15" s="128">
        <f>+'Ancho 25mm'!D33</f>
        <v>0</v>
      </c>
      <c r="D15" s="204">
        <f>+'Ancho 25mm'!E33</f>
        <v>0</v>
      </c>
    </row>
    <row r="16" spans="1:4" ht="15" customHeight="1" x14ac:dyDescent="0.3">
      <c r="A16" s="50">
        <v>3000</v>
      </c>
      <c r="B16" s="218" t="s">
        <v>563</v>
      </c>
      <c r="C16" s="128">
        <f>+'Ancho 30mm'!D70</f>
        <v>0</v>
      </c>
      <c r="D16" s="205">
        <f>+'Ancho 30mm'!E70</f>
        <v>0</v>
      </c>
    </row>
    <row r="17" spans="1:4" ht="15" customHeight="1" x14ac:dyDescent="0.3">
      <c r="A17" s="50">
        <v>4000</v>
      </c>
      <c r="B17" s="218" t="s">
        <v>564</v>
      </c>
      <c r="C17" s="128">
        <f>+'Ancho 40mm'!D16</f>
        <v>0</v>
      </c>
      <c r="D17" s="204">
        <f>+'Ancho 40mm'!E16</f>
        <v>0</v>
      </c>
    </row>
    <row r="18" spans="1:4" ht="15" customHeight="1" thickBot="1" x14ac:dyDescent="0.35">
      <c r="A18" s="120">
        <v>5000</v>
      </c>
      <c r="B18" s="219" t="s">
        <v>565</v>
      </c>
      <c r="C18" s="149">
        <f>+'Ancho 50mm'!D18</f>
        <v>0</v>
      </c>
      <c r="D18" s="206">
        <f>+'Ancho 50mm'!E18</f>
        <v>0</v>
      </c>
    </row>
    <row r="19" spans="1:4" ht="7.95" customHeight="1" x14ac:dyDescent="0.3">
      <c r="A19" s="213"/>
      <c r="B19" s="214"/>
      <c r="C19" s="216"/>
      <c r="D19" s="215"/>
    </row>
    <row r="20" spans="1:4" ht="15" customHeight="1" x14ac:dyDescent="0.3">
      <c r="A20" s="50">
        <v>2090</v>
      </c>
      <c r="B20" s="220" t="s">
        <v>566</v>
      </c>
      <c r="C20" s="207">
        <f>+'Perros Ancho 10mm'!D53</f>
        <v>0</v>
      </c>
      <c r="D20" s="205">
        <f>+'Perros Ancho 10mm'!E58</f>
        <v>0</v>
      </c>
    </row>
    <row r="21" spans="1:4" ht="15" customHeight="1" x14ac:dyDescent="0.3">
      <c r="A21" s="50">
        <v>2090</v>
      </c>
      <c r="B21" s="220" t="s">
        <v>567</v>
      </c>
      <c r="C21" s="207">
        <f>+'Ancho 15mm'!D66</f>
        <v>0</v>
      </c>
      <c r="D21" s="205">
        <f>+'Ancho 15mm'!E74</f>
        <v>0</v>
      </c>
    </row>
    <row r="22" spans="1:4" ht="15" customHeight="1" x14ac:dyDescent="0.3">
      <c r="A22" s="50">
        <v>2090</v>
      </c>
      <c r="B22" s="220" t="s">
        <v>568</v>
      </c>
      <c r="C22" s="207">
        <f>+'Ancho 20mm'!D77</f>
        <v>0</v>
      </c>
      <c r="D22" s="205">
        <f>+'Ancho 20mm'!E77</f>
        <v>0</v>
      </c>
    </row>
    <row r="23" spans="1:4" ht="15" customHeight="1" x14ac:dyDescent="0.3">
      <c r="A23" s="50">
        <v>2590</v>
      </c>
      <c r="B23" s="220" t="s">
        <v>569</v>
      </c>
      <c r="C23" s="207">
        <f>+'Ancho 25mm'!D46</f>
        <v>0</v>
      </c>
      <c r="D23" s="205">
        <f>+'Ancho 25mm'!E46</f>
        <v>0</v>
      </c>
    </row>
    <row r="24" spans="1:4" ht="15" customHeight="1" x14ac:dyDescent="0.3">
      <c r="A24" s="50">
        <v>3090</v>
      </c>
      <c r="B24" s="220" t="s">
        <v>570</v>
      </c>
      <c r="C24" s="208">
        <f>+'Ancho 30mm'!D83</f>
        <v>0</v>
      </c>
      <c r="D24" s="205">
        <f>+'Ancho 30mm'!E83</f>
        <v>0</v>
      </c>
    </row>
    <row r="25" spans="1:4" ht="15" customHeight="1" x14ac:dyDescent="0.3">
      <c r="A25" s="120">
        <v>4090</v>
      </c>
      <c r="B25" s="220" t="s">
        <v>571</v>
      </c>
      <c r="C25" s="208">
        <f>+'Ancho 40mm'!D23</f>
        <v>0</v>
      </c>
      <c r="D25" s="205">
        <f>+'Ancho 40mm'!E23</f>
        <v>0</v>
      </c>
    </row>
    <row r="26" spans="1:4" ht="15" customHeight="1" thickBot="1" x14ac:dyDescent="0.35">
      <c r="A26" s="91">
        <v>5090</v>
      </c>
      <c r="B26" s="221" t="s">
        <v>572</v>
      </c>
      <c r="C26" s="209">
        <f>+'Ancho 50mm'!D25</f>
        <v>0</v>
      </c>
      <c r="D26" s="210">
        <f>+'Ancho 50mm'!E25</f>
        <v>0</v>
      </c>
    </row>
    <row r="27" spans="1:4" ht="9" customHeight="1" thickBot="1" x14ac:dyDescent="0.35">
      <c r="A27" s="199"/>
      <c r="B27" s="200"/>
      <c r="C27" s="201"/>
      <c r="D27" s="202"/>
    </row>
    <row r="28" spans="1:4" ht="31.95" customHeight="1" thickBot="1" x14ac:dyDescent="0.35">
      <c r="A28" s="397" t="s">
        <v>79</v>
      </c>
      <c r="B28" s="398"/>
      <c r="C28" s="211" t="s">
        <v>214</v>
      </c>
      <c r="D28" s="212">
        <f>SUM(D10:D27)</f>
        <v>0</v>
      </c>
    </row>
    <row r="29" spans="1:4" ht="15" thickBot="1" x14ac:dyDescent="0.35">
      <c r="A29" s="142"/>
      <c r="B29" s="142"/>
      <c r="C29" s="142"/>
      <c r="D29" s="142"/>
    </row>
    <row r="30" spans="1:4" x14ac:dyDescent="0.3">
      <c r="A30" s="371" t="s">
        <v>80</v>
      </c>
      <c r="B30" s="372"/>
      <c r="C30" s="373"/>
      <c r="D30" s="142"/>
    </row>
    <row r="31" spans="1:4" x14ac:dyDescent="0.3">
      <c r="A31" s="367" t="s">
        <v>211</v>
      </c>
      <c r="B31" s="368"/>
      <c r="C31" s="369"/>
      <c r="D31" s="142"/>
    </row>
    <row r="32" spans="1:4" x14ac:dyDescent="0.3">
      <c r="A32" s="363" t="s">
        <v>218</v>
      </c>
      <c r="B32" s="361"/>
      <c r="C32" s="362"/>
      <c r="D32" s="142"/>
    </row>
    <row r="33" spans="1:4" x14ac:dyDescent="0.3">
      <c r="A33" s="370" t="s">
        <v>216</v>
      </c>
      <c r="B33" s="368"/>
      <c r="C33" s="369"/>
      <c r="D33" s="142"/>
    </row>
    <row r="34" spans="1:4" x14ac:dyDescent="0.3">
      <c r="A34" s="360" t="s">
        <v>222</v>
      </c>
      <c r="B34" s="361"/>
      <c r="C34" s="362"/>
      <c r="D34" s="142"/>
    </row>
    <row r="35" spans="1:4" x14ac:dyDescent="0.3">
      <c r="A35" s="363" t="s">
        <v>217</v>
      </c>
      <c r="B35" s="361"/>
      <c r="C35" s="362"/>
      <c r="D35" s="142"/>
    </row>
    <row r="36" spans="1:4" x14ac:dyDescent="0.3">
      <c r="A36" s="363" t="s">
        <v>219</v>
      </c>
      <c r="B36" s="361"/>
      <c r="C36" s="362"/>
      <c r="D36" s="142"/>
    </row>
    <row r="37" spans="1:4" x14ac:dyDescent="0.3">
      <c r="A37" s="360" t="s">
        <v>220</v>
      </c>
      <c r="B37" s="361"/>
      <c r="C37" s="362"/>
      <c r="D37" s="142"/>
    </row>
    <row r="38" spans="1:4" x14ac:dyDescent="0.3">
      <c r="A38" s="360" t="s">
        <v>221</v>
      </c>
      <c r="B38" s="361"/>
      <c r="C38" s="362"/>
      <c r="D38" s="142"/>
    </row>
    <row r="39" spans="1:4" x14ac:dyDescent="0.3">
      <c r="A39" s="367" t="s">
        <v>223</v>
      </c>
      <c r="B39" s="368"/>
      <c r="C39" s="369"/>
      <c r="D39" s="142"/>
    </row>
    <row r="40" spans="1:4" ht="15" thickBot="1" x14ac:dyDescent="0.35">
      <c r="A40" s="364" t="s">
        <v>81</v>
      </c>
      <c r="B40" s="365"/>
      <c r="C40" s="366"/>
      <c r="D40" s="142"/>
    </row>
  </sheetData>
  <mergeCells count="21">
    <mergeCell ref="A31:C31"/>
    <mergeCell ref="A30:C30"/>
    <mergeCell ref="C1:D2"/>
    <mergeCell ref="C3:D3"/>
    <mergeCell ref="C4:D4"/>
    <mergeCell ref="B5:B6"/>
    <mergeCell ref="C5:D6"/>
    <mergeCell ref="A1:A6"/>
    <mergeCell ref="B1:B2"/>
    <mergeCell ref="C7:D7"/>
    <mergeCell ref="C8:D8"/>
    <mergeCell ref="A28:B28"/>
    <mergeCell ref="A38:C38"/>
    <mergeCell ref="A35:C35"/>
    <mergeCell ref="A36:C36"/>
    <mergeCell ref="A32:C32"/>
    <mergeCell ref="A40:C40"/>
    <mergeCell ref="A37:C37"/>
    <mergeCell ref="A39:C39"/>
    <mergeCell ref="A34:C34"/>
    <mergeCell ref="A33:C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964EE"/>
  </sheetPr>
  <dimension ref="A1:AC46"/>
  <sheetViews>
    <sheetView zoomScale="80" zoomScaleNormal="80" workbookViewId="0">
      <selection activeCell="D4" sqref="D4"/>
    </sheetView>
  </sheetViews>
  <sheetFormatPr baseColWidth="10" defaultColWidth="11.5546875" defaultRowHeight="14.4" x14ac:dyDescent="0.3"/>
  <cols>
    <col min="1" max="1" width="12.33203125" customWidth="1"/>
    <col min="2" max="2" width="76.109375" customWidth="1"/>
    <col min="3" max="3" width="12.6640625" style="2" customWidth="1"/>
    <col min="4" max="4" width="10.6640625" customWidth="1"/>
    <col min="5" max="5" width="19" customWidth="1"/>
    <col min="6" max="6" width="128.6640625" style="3" customWidth="1"/>
    <col min="7" max="23" width="11.5546875" hidden="1" customWidth="1"/>
  </cols>
  <sheetData>
    <row r="1" spans="1:6" ht="32.25" customHeight="1" thickBot="1" x14ac:dyDescent="0.35">
      <c r="A1" s="399" t="s">
        <v>6</v>
      </c>
      <c r="B1" s="400"/>
      <c r="C1" s="400"/>
      <c r="D1" s="400"/>
      <c r="E1" s="400"/>
      <c r="F1" s="224"/>
    </row>
    <row r="2" spans="1:6" ht="39.9" customHeight="1" thickBot="1" x14ac:dyDescent="0.35">
      <c r="A2" s="308" t="s">
        <v>10</v>
      </c>
      <c r="B2" s="14" t="s">
        <v>268</v>
      </c>
      <c r="C2" s="13" t="s">
        <v>2</v>
      </c>
      <c r="D2" s="15" t="s">
        <v>4</v>
      </c>
      <c r="E2" s="16" t="s">
        <v>3</v>
      </c>
      <c r="F2" s="231" t="s">
        <v>8</v>
      </c>
    </row>
    <row r="3" spans="1:6" ht="19.5" customHeight="1" thickBot="1" x14ac:dyDescent="0.35">
      <c r="A3" s="309"/>
      <c r="B3" s="257"/>
      <c r="C3" s="258"/>
      <c r="D3" s="258"/>
      <c r="E3" s="259"/>
      <c r="F3" s="262" t="s">
        <v>269</v>
      </c>
    </row>
    <row r="4" spans="1:6" ht="19.95" customHeight="1" thickBot="1" x14ac:dyDescent="0.35">
      <c r="A4" s="310" t="s">
        <v>260</v>
      </c>
      <c r="B4" s="264" t="s">
        <v>532</v>
      </c>
      <c r="C4" s="265">
        <f>+'[1]C.GATOS'!$U$12</f>
        <v>3200</v>
      </c>
      <c r="D4" s="266"/>
      <c r="E4" s="25">
        <f>+D4*C4</f>
        <v>0</v>
      </c>
      <c r="F4" s="261"/>
    </row>
    <row r="5" spans="1:6" ht="19.95" customHeight="1" thickBot="1" x14ac:dyDescent="0.35">
      <c r="A5" s="311"/>
      <c r="B5" s="268"/>
      <c r="C5" s="258"/>
      <c r="D5" s="258"/>
      <c r="E5" s="259"/>
      <c r="F5" s="21" t="s">
        <v>270</v>
      </c>
    </row>
    <row r="6" spans="1:6" ht="19.95" customHeight="1" thickBot="1" x14ac:dyDescent="0.35">
      <c r="A6" s="312" t="s">
        <v>261</v>
      </c>
      <c r="B6" s="267" t="s">
        <v>533</v>
      </c>
      <c r="C6" s="260">
        <f>+'[2]C.GATOS'!$U$14</f>
        <v>4600</v>
      </c>
      <c r="D6" s="266"/>
      <c r="E6" s="31">
        <f>+D6*C6</f>
        <v>0</v>
      </c>
      <c r="F6" s="11"/>
    </row>
    <row r="7" spans="1:6" ht="19.95" customHeight="1" thickBot="1" x14ac:dyDescent="0.35">
      <c r="A7" s="311"/>
      <c r="B7" s="268"/>
      <c r="C7" s="258"/>
      <c r="D7" s="258"/>
      <c r="E7" s="259"/>
      <c r="F7" s="17" t="s">
        <v>270</v>
      </c>
    </row>
    <row r="8" spans="1:6" ht="19.95" customHeight="1" thickBot="1" x14ac:dyDescent="0.35">
      <c r="A8" s="312" t="s">
        <v>262</v>
      </c>
      <c r="B8" s="22" t="s">
        <v>534</v>
      </c>
      <c r="C8" s="18">
        <f>+'[2]C.GATOS'!$U$14</f>
        <v>4600</v>
      </c>
      <c r="D8" s="244"/>
      <c r="E8" s="19">
        <f>+D8*C8</f>
        <v>0</v>
      </c>
      <c r="F8" s="340"/>
    </row>
    <row r="9" spans="1:6" ht="19.95" customHeight="1" thickBot="1" x14ac:dyDescent="0.35">
      <c r="A9" s="311"/>
      <c r="B9" s="268"/>
      <c r="C9" s="258"/>
      <c r="D9" s="258"/>
      <c r="E9" s="259"/>
      <c r="F9" s="273" t="s">
        <v>271</v>
      </c>
    </row>
    <row r="10" spans="1:6" ht="19.95" customHeight="1" thickBot="1" x14ac:dyDescent="0.35">
      <c r="A10" s="312" t="s">
        <v>263</v>
      </c>
      <c r="B10" s="20" t="s">
        <v>535</v>
      </c>
      <c r="C10" s="23">
        <f>+'[2]C.GATOS'!$Z$12</f>
        <v>4600</v>
      </c>
      <c r="D10" s="244"/>
      <c r="E10" s="24">
        <f>+D10*C10</f>
        <v>0</v>
      </c>
      <c r="F10" s="274"/>
    </row>
    <row r="11" spans="1:6" ht="19.95" customHeight="1" thickBot="1" x14ac:dyDescent="0.35">
      <c r="A11" s="311"/>
      <c r="B11" s="268"/>
      <c r="C11" s="258"/>
      <c r="D11" s="258"/>
      <c r="E11" s="259"/>
      <c r="F11" s="273" t="s">
        <v>272</v>
      </c>
    </row>
    <row r="12" spans="1:6" ht="19.95" customHeight="1" thickBot="1" x14ac:dyDescent="0.35">
      <c r="A12" s="312" t="s">
        <v>264</v>
      </c>
      <c r="B12" s="20" t="s">
        <v>536</v>
      </c>
      <c r="C12" s="23">
        <f>+'[2]C.GATOS'!$Z$11</f>
        <v>4200</v>
      </c>
      <c r="D12" s="244"/>
      <c r="E12" s="25">
        <f>+D12*C12</f>
        <v>0</v>
      </c>
      <c r="F12" s="341"/>
    </row>
    <row r="13" spans="1:6" ht="19.95" customHeight="1" thickBot="1" x14ac:dyDescent="0.35">
      <c r="A13" s="311"/>
      <c r="B13" s="268"/>
      <c r="C13" s="258"/>
      <c r="D13" s="258"/>
      <c r="E13" s="259"/>
      <c r="F13" s="273" t="s">
        <v>273</v>
      </c>
    </row>
    <row r="14" spans="1:6" ht="19.95" customHeight="1" thickBot="1" x14ac:dyDescent="0.35">
      <c r="A14" s="312" t="s">
        <v>265</v>
      </c>
      <c r="B14" s="20" t="s">
        <v>226</v>
      </c>
      <c r="C14" s="23">
        <f>+'[2]C.GATOS'!$Z$11</f>
        <v>4200</v>
      </c>
      <c r="D14" s="244"/>
      <c r="E14" s="24">
        <f t="shared" ref="E14" si="0">+D14*C14</f>
        <v>0</v>
      </c>
      <c r="F14" s="274"/>
    </row>
    <row r="15" spans="1:6" ht="23.25" customHeight="1" thickBot="1" x14ac:dyDescent="0.35">
      <c r="A15" s="313"/>
      <c r="B15" s="269"/>
      <c r="C15" s="258"/>
      <c r="D15" s="258"/>
      <c r="E15" s="259"/>
      <c r="F15" s="276" t="s">
        <v>607</v>
      </c>
    </row>
    <row r="16" spans="1:6" ht="23.25" customHeight="1" thickBot="1" x14ac:dyDescent="0.35">
      <c r="A16" s="314" t="s">
        <v>233</v>
      </c>
      <c r="B16" s="271" t="s">
        <v>224</v>
      </c>
      <c r="C16" s="27">
        <f>+'[2]C.GATOS'!$U$53</f>
        <v>2850</v>
      </c>
      <c r="D16" s="244"/>
      <c r="E16" s="24">
        <f t="shared" ref="E16" si="1">+D16*C16</f>
        <v>0</v>
      </c>
      <c r="F16" s="274"/>
    </row>
    <row r="17" spans="1:29" ht="23.25" customHeight="1" thickBot="1" x14ac:dyDescent="0.35">
      <c r="A17" s="313"/>
      <c r="B17" s="268"/>
      <c r="C17" s="258"/>
      <c r="D17" s="258"/>
      <c r="E17" s="259"/>
      <c r="F17" s="273" t="s">
        <v>284</v>
      </c>
    </row>
    <row r="18" spans="1:29" ht="23.25" customHeight="1" thickBot="1" x14ac:dyDescent="0.35">
      <c r="A18" s="314" t="s">
        <v>237</v>
      </c>
      <c r="B18" s="20" t="s">
        <v>231</v>
      </c>
      <c r="C18" s="23">
        <f>+'[2]C.GATOS'!$Z$14</f>
        <v>3150</v>
      </c>
      <c r="D18" s="244"/>
      <c r="E18" s="25">
        <f>+D18*C18</f>
        <v>0</v>
      </c>
      <c r="F18" s="274"/>
    </row>
    <row r="19" spans="1:29" ht="23.25" customHeight="1" thickBot="1" x14ac:dyDescent="0.35">
      <c r="A19" s="313"/>
      <c r="B19" s="268"/>
      <c r="C19" s="258"/>
      <c r="D19" s="258"/>
      <c r="E19" s="259"/>
      <c r="F19" s="262" t="s">
        <v>283</v>
      </c>
    </row>
    <row r="20" spans="1:29" ht="23.25" customHeight="1" thickBot="1" x14ac:dyDescent="0.35">
      <c r="A20" s="314" t="s">
        <v>238</v>
      </c>
      <c r="B20" s="20" t="s">
        <v>232</v>
      </c>
      <c r="C20" s="23">
        <f>+'[2]C.GATOS'!$Z$13</f>
        <v>4900</v>
      </c>
      <c r="D20" s="244"/>
      <c r="E20" s="25">
        <f>+D20*C20</f>
        <v>0</v>
      </c>
      <c r="F20" s="274"/>
    </row>
    <row r="21" spans="1:29" ht="19.95" customHeight="1" thickBot="1" x14ac:dyDescent="0.35">
      <c r="A21" s="313"/>
      <c r="B21" s="268"/>
      <c r="C21" s="258"/>
      <c r="D21" s="258"/>
      <c r="E21" s="259"/>
      <c r="F21" s="273" t="s">
        <v>274</v>
      </c>
    </row>
    <row r="22" spans="1:29" ht="19.95" customHeight="1" thickBot="1" x14ac:dyDescent="0.35">
      <c r="A22" s="314" t="s">
        <v>239</v>
      </c>
      <c r="B22" s="20" t="s">
        <v>229</v>
      </c>
      <c r="C22" s="23">
        <f>+'[2]C.GATOS'!$Z$6</f>
        <v>3300</v>
      </c>
      <c r="D22" s="244"/>
      <c r="E22" s="24">
        <f>+D22*C22</f>
        <v>0</v>
      </c>
      <c r="F22" s="274"/>
    </row>
    <row r="23" spans="1:29" ht="19.5" customHeight="1" thickBot="1" x14ac:dyDescent="0.35">
      <c r="A23" s="313"/>
      <c r="B23" s="268"/>
      <c r="C23" s="258"/>
      <c r="D23" s="258"/>
      <c r="E23" s="259"/>
      <c r="F23" s="275" t="s">
        <v>286</v>
      </c>
    </row>
    <row r="24" spans="1:29" ht="19.95" customHeight="1" thickBot="1" x14ac:dyDescent="0.35">
      <c r="A24" s="314" t="s">
        <v>240</v>
      </c>
      <c r="B24" s="26" t="s">
        <v>225</v>
      </c>
      <c r="C24" s="27">
        <f>+'[2]C.GATOS'!$Z$7</f>
        <v>3100</v>
      </c>
      <c r="D24" s="244"/>
      <c r="E24" s="24">
        <f t="shared" ref="E24" si="2">+D24*C24</f>
        <v>0</v>
      </c>
      <c r="F24" s="272"/>
    </row>
    <row r="25" spans="1:29" ht="19.95" customHeight="1" thickBot="1" x14ac:dyDescent="0.35">
      <c r="A25" s="313"/>
      <c r="B25" s="268"/>
      <c r="C25" s="258"/>
      <c r="D25" s="258"/>
      <c r="E25" s="259"/>
      <c r="F25" s="275" t="s">
        <v>275</v>
      </c>
    </row>
    <row r="26" spans="1:29" ht="19.95" customHeight="1" thickBot="1" x14ac:dyDescent="0.35">
      <c r="A26" s="314" t="s">
        <v>241</v>
      </c>
      <c r="B26" s="26" t="s">
        <v>227</v>
      </c>
      <c r="C26" s="27">
        <f>+'[2]C.GATOS'!$Z$7</f>
        <v>3100</v>
      </c>
      <c r="D26" s="244"/>
      <c r="E26" s="24">
        <f>+D26*C26</f>
        <v>0</v>
      </c>
      <c r="F26" s="272"/>
    </row>
    <row r="27" spans="1:29" ht="19.95" customHeight="1" thickBot="1" x14ac:dyDescent="0.35">
      <c r="A27" s="313"/>
      <c r="B27" s="268"/>
      <c r="C27" s="258"/>
      <c r="D27" s="258"/>
      <c r="E27" s="259"/>
      <c r="F27" s="276" t="s">
        <v>276</v>
      </c>
    </row>
    <row r="28" spans="1:29" ht="19.95" customHeight="1" thickBot="1" x14ac:dyDescent="0.35">
      <c r="A28" s="314" t="s">
        <v>242</v>
      </c>
      <c r="B28" s="26" t="s">
        <v>537</v>
      </c>
      <c r="C28" s="27">
        <f>+'[2]C.GATOS'!$Z$7</f>
        <v>3100</v>
      </c>
      <c r="D28" s="244"/>
      <c r="E28" s="24">
        <f>+D28*C28</f>
        <v>0</v>
      </c>
      <c r="F28" s="274"/>
    </row>
    <row r="29" spans="1:29" ht="19.5" customHeight="1" thickBot="1" x14ac:dyDescent="0.35">
      <c r="A29" s="313"/>
      <c r="B29" s="268"/>
      <c r="C29" s="258"/>
      <c r="D29" s="258"/>
      <c r="E29" s="259"/>
      <c r="F29" s="276" t="s">
        <v>277</v>
      </c>
    </row>
    <row r="30" spans="1:29" ht="19.5" customHeight="1" thickBot="1" x14ac:dyDescent="0.35">
      <c r="A30" s="314" t="s">
        <v>243</v>
      </c>
      <c r="B30" s="26" t="s">
        <v>538</v>
      </c>
      <c r="C30" s="27">
        <f>+'[2]C.GATOS'!$Z$7</f>
        <v>3100</v>
      </c>
      <c r="D30" s="244"/>
      <c r="E30" s="24">
        <f>+D30*C30</f>
        <v>0</v>
      </c>
      <c r="F30" s="274"/>
    </row>
    <row r="31" spans="1:29" s="1" customFormat="1" ht="19.95" customHeight="1" thickBot="1" x14ac:dyDescent="0.35">
      <c r="A31" s="313"/>
      <c r="B31" s="268"/>
      <c r="C31" s="258"/>
      <c r="D31" s="258"/>
      <c r="E31" s="259"/>
      <c r="F31" s="276" t="s">
        <v>278</v>
      </c>
      <c r="X31"/>
      <c r="Y31"/>
      <c r="Z31"/>
      <c r="AA31"/>
      <c r="AB31"/>
      <c r="AC31"/>
    </row>
    <row r="32" spans="1:29" s="1" customFormat="1" ht="19.95" customHeight="1" thickBot="1" x14ac:dyDescent="0.35">
      <c r="A32" s="314" t="s">
        <v>244</v>
      </c>
      <c r="B32" s="26" t="s">
        <v>539</v>
      </c>
      <c r="C32" s="28">
        <f>+'[2]C.GATOS'!$Z$7</f>
        <v>3100</v>
      </c>
      <c r="D32" s="244"/>
      <c r="E32" s="29">
        <f t="shared" ref="E32" si="3">+D32*C32</f>
        <v>0</v>
      </c>
      <c r="F32" s="274"/>
      <c r="X32"/>
      <c r="Y32"/>
      <c r="Z32"/>
      <c r="AA32"/>
      <c r="AB32"/>
      <c r="AC32"/>
    </row>
    <row r="33" spans="1:29" s="1" customFormat="1" ht="19.95" customHeight="1" thickBot="1" x14ac:dyDescent="0.35">
      <c r="A33" s="313"/>
      <c r="B33" s="268"/>
      <c r="C33" s="258"/>
      <c r="D33" s="258"/>
      <c r="E33" s="259"/>
      <c r="F33" s="276" t="s">
        <v>287</v>
      </c>
      <c r="X33"/>
      <c r="Y33"/>
      <c r="Z33"/>
      <c r="AA33"/>
      <c r="AB33"/>
      <c r="AC33"/>
    </row>
    <row r="34" spans="1:29" s="1" customFormat="1" ht="19.95" customHeight="1" thickBot="1" x14ac:dyDescent="0.35">
      <c r="A34" s="314" t="s">
        <v>245</v>
      </c>
      <c r="B34" s="26" t="s">
        <v>540</v>
      </c>
      <c r="C34" s="30">
        <f>+'[2]C.GATOS'!$Z$6</f>
        <v>3300</v>
      </c>
      <c r="D34" s="244"/>
      <c r="E34" s="31">
        <f>+D34*C34</f>
        <v>0</v>
      </c>
      <c r="F34" s="274"/>
      <c r="X34"/>
      <c r="Y34"/>
      <c r="Z34"/>
      <c r="AA34"/>
      <c r="AB34"/>
      <c r="AC34"/>
    </row>
    <row r="35" spans="1:29" s="1" customFormat="1" ht="19.95" customHeight="1" thickBot="1" x14ac:dyDescent="0.35">
      <c r="A35" s="313"/>
      <c r="B35" s="268"/>
      <c r="C35" s="258"/>
      <c r="D35" s="258"/>
      <c r="E35" s="259"/>
      <c r="F35" s="276" t="s">
        <v>285</v>
      </c>
      <c r="X35"/>
      <c r="Y35"/>
      <c r="Z35"/>
      <c r="AA35"/>
      <c r="AB35"/>
      <c r="AC35"/>
    </row>
    <row r="36" spans="1:29" s="1" customFormat="1" ht="19.95" customHeight="1" thickBot="1" x14ac:dyDescent="0.35">
      <c r="A36" s="314" t="s">
        <v>246</v>
      </c>
      <c r="B36" s="26" t="s">
        <v>228</v>
      </c>
      <c r="C36" s="30">
        <f>+'[2]C.GATOS'!$Z$6</f>
        <v>3300</v>
      </c>
      <c r="D36" s="244"/>
      <c r="E36" s="31">
        <f>+D36*C36</f>
        <v>0</v>
      </c>
      <c r="F36" s="274"/>
      <c r="X36"/>
      <c r="Y36"/>
      <c r="Z36"/>
      <c r="AA36"/>
      <c r="AB36"/>
      <c r="AC36"/>
    </row>
    <row r="37" spans="1:29" s="1" customFormat="1" ht="19.95" customHeight="1" thickBot="1" x14ac:dyDescent="0.35">
      <c r="A37" s="313"/>
      <c r="B37" s="268"/>
      <c r="C37" s="258"/>
      <c r="D37" s="258"/>
      <c r="E37" s="259"/>
      <c r="F37" s="276" t="s">
        <v>279</v>
      </c>
      <c r="X37"/>
      <c r="Y37"/>
      <c r="Z37"/>
      <c r="AA37"/>
      <c r="AB37"/>
      <c r="AC37"/>
    </row>
    <row r="38" spans="1:29" s="1" customFormat="1" ht="19.95" customHeight="1" thickBot="1" x14ac:dyDescent="0.35">
      <c r="A38" s="314" t="s">
        <v>247</v>
      </c>
      <c r="B38" s="26" t="s">
        <v>541</v>
      </c>
      <c r="C38" s="30">
        <f>+'[2]C.GATOS'!$Z$8</f>
        <v>3450</v>
      </c>
      <c r="D38" s="244"/>
      <c r="E38" s="31">
        <f>+D38*C38</f>
        <v>0</v>
      </c>
      <c r="F38" s="274"/>
      <c r="X38"/>
      <c r="Y38"/>
      <c r="Z38"/>
      <c r="AA38"/>
      <c r="AB38"/>
      <c r="AC38"/>
    </row>
    <row r="39" spans="1:29" s="1" customFormat="1" ht="19.95" customHeight="1" thickBot="1" x14ac:dyDescent="0.35">
      <c r="A39" s="313"/>
      <c r="B39" s="268"/>
      <c r="C39" s="258"/>
      <c r="D39" s="258"/>
      <c r="E39" s="259"/>
      <c r="F39" s="273" t="s">
        <v>280</v>
      </c>
      <c r="X39"/>
      <c r="Y39"/>
      <c r="Z39"/>
      <c r="AA39"/>
      <c r="AB39"/>
      <c r="AC39"/>
    </row>
    <row r="40" spans="1:29" s="1" customFormat="1" ht="19.95" customHeight="1" thickBot="1" x14ac:dyDescent="0.35">
      <c r="A40" s="314" t="s">
        <v>248</v>
      </c>
      <c r="B40" s="20" t="s">
        <v>542</v>
      </c>
      <c r="C40" s="30">
        <f>+'[2]C.GATOS'!$Z$8</f>
        <v>3450</v>
      </c>
      <c r="D40" s="244"/>
      <c r="E40" s="29">
        <f>+D40*C40</f>
        <v>0</v>
      </c>
      <c r="F40" s="274"/>
      <c r="X40"/>
      <c r="Y40"/>
      <c r="Z40"/>
      <c r="AA40"/>
      <c r="AB40"/>
      <c r="AC40"/>
    </row>
    <row r="41" spans="1:29" ht="19.95" customHeight="1" thickBot="1" x14ac:dyDescent="0.35">
      <c r="A41" s="313"/>
      <c r="B41" s="268"/>
      <c r="C41" s="258"/>
      <c r="D41" s="258"/>
      <c r="E41" s="259"/>
      <c r="F41" s="276" t="s">
        <v>281</v>
      </c>
    </row>
    <row r="42" spans="1:29" ht="19.95" customHeight="1" thickBot="1" x14ac:dyDescent="0.35">
      <c r="A42" s="314" t="s">
        <v>249</v>
      </c>
      <c r="B42" s="26" t="s">
        <v>531</v>
      </c>
      <c r="C42" s="28">
        <f>+'[2]C.GATOS'!$Z$15</f>
        <v>4350</v>
      </c>
      <c r="D42" s="244"/>
      <c r="E42" s="29">
        <f>+D42*C42</f>
        <v>0</v>
      </c>
      <c r="F42" s="274"/>
    </row>
    <row r="43" spans="1:29" ht="19.95" customHeight="1" thickBot="1" x14ac:dyDescent="0.35">
      <c r="A43" s="313"/>
      <c r="B43" s="269"/>
      <c r="C43" s="258"/>
      <c r="D43" s="258"/>
      <c r="E43" s="259"/>
      <c r="F43" s="262" t="s">
        <v>282</v>
      </c>
    </row>
    <row r="44" spans="1:29" ht="19.5" customHeight="1" thickBot="1" x14ac:dyDescent="0.35">
      <c r="A44" s="314" t="s">
        <v>250</v>
      </c>
      <c r="B44" s="263" t="s">
        <v>230</v>
      </c>
      <c r="C44" s="30">
        <f>+'[2]C.GATOS'!$Z$8</f>
        <v>3450</v>
      </c>
      <c r="D44" s="244"/>
      <c r="E44" s="29">
        <f>+D44*C44</f>
        <v>0</v>
      </c>
      <c r="F44" s="272"/>
    </row>
    <row r="45" spans="1:29" ht="27" customHeight="1" thickBot="1" x14ac:dyDescent="0.35">
      <c r="A45" s="270" t="s">
        <v>79</v>
      </c>
      <c r="B45" s="32"/>
      <c r="C45" s="230" t="s">
        <v>182</v>
      </c>
      <c r="D45" s="33">
        <f>SUM(D3:D44)</f>
        <v>0</v>
      </c>
      <c r="E45" s="34">
        <f>SUM(E4:E44)</f>
        <v>0</v>
      </c>
      <c r="F45" s="35"/>
    </row>
    <row r="46" spans="1:29" x14ac:dyDescent="0.3">
      <c r="C46"/>
      <c r="F46"/>
    </row>
  </sheetData>
  <customSheetViews>
    <customSheetView guid="{CFC743F2-25E8-43CF-9095-7ADDAA5393B2}" scale="95" hiddenColumns="1" topLeftCell="A479">
      <selection activeCell="A492" sqref="A492:XFD492"/>
      <pageMargins left="0.70866141732283472" right="0.70866141732283472" top="0.74803149606299213" bottom="0.74803149606299213" header="0.31496062992125978" footer="0.31496062992125978"/>
      <pageSetup paperSize="9" orientation="portrait"/>
    </customSheetView>
  </customSheetViews>
  <mergeCells count="1">
    <mergeCell ref="A1:E1"/>
  </mergeCells>
  <phoneticPr fontId="27" type="noConversion"/>
  <pageMargins left="0.70866141732283472" right="0.70866141732283472" top="0.74803149606299213" bottom="0.74803149606299213" header="0.31496062992125978" footer="0.31496062992125978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58"/>
  <sheetViews>
    <sheetView topLeftCell="A40" zoomScale="90" zoomScaleNormal="90" workbookViewId="0">
      <selection activeCell="F63" sqref="F63"/>
    </sheetView>
  </sheetViews>
  <sheetFormatPr baseColWidth="10" defaultRowHeight="14.4" x14ac:dyDescent="0.3"/>
  <cols>
    <col min="1" max="1" width="10.6640625" customWidth="1"/>
    <col min="2" max="2" width="73.6640625" bestFit="1" customWidth="1"/>
    <col min="5" max="5" width="17.88671875" customWidth="1"/>
    <col min="6" max="6" width="84" customWidth="1"/>
  </cols>
  <sheetData>
    <row r="1" spans="1:6" ht="23.25" customHeight="1" thickBot="1" x14ac:dyDescent="0.35">
      <c r="A1" s="401" t="s">
        <v>6</v>
      </c>
      <c r="B1" s="402"/>
      <c r="C1" s="402"/>
      <c r="D1" s="402"/>
      <c r="E1" s="402"/>
      <c r="F1" s="225"/>
    </row>
    <row r="2" spans="1:6" ht="37.200000000000003" customHeight="1" thickBot="1" x14ac:dyDescent="0.35">
      <c r="A2" s="36"/>
      <c r="B2" s="37" t="s">
        <v>5</v>
      </c>
      <c r="C2" s="38" t="s">
        <v>2</v>
      </c>
      <c r="D2" s="39" t="s">
        <v>4</v>
      </c>
      <c r="E2" s="40" t="s">
        <v>3</v>
      </c>
      <c r="F2" s="233" t="s">
        <v>8</v>
      </c>
    </row>
    <row r="3" spans="1:6" ht="30" customHeight="1" x14ac:dyDescent="0.3">
      <c r="A3" s="307" t="s">
        <v>10</v>
      </c>
      <c r="B3" s="166" t="s">
        <v>11</v>
      </c>
      <c r="C3" s="239"/>
      <c r="D3" s="239"/>
      <c r="E3" s="240"/>
      <c r="F3" s="238" t="s">
        <v>254</v>
      </c>
    </row>
    <row r="4" spans="1:6" x14ac:dyDescent="0.3">
      <c r="A4" s="50" t="s">
        <v>251</v>
      </c>
      <c r="B4" s="51" t="s">
        <v>85</v>
      </c>
      <c r="C4" s="52">
        <f>+'[2]Collares 10mm'!$U$4-100</f>
        <v>4400</v>
      </c>
      <c r="D4" s="245"/>
      <c r="E4" s="53">
        <f>+D4*C4</f>
        <v>0</v>
      </c>
      <c r="F4" s="54"/>
    </row>
    <row r="5" spans="1:6" x14ac:dyDescent="0.3">
      <c r="A5" s="50" t="s">
        <v>253</v>
      </c>
      <c r="B5" s="42" t="s">
        <v>85</v>
      </c>
      <c r="C5" s="43">
        <f>+'[2]Collares 10mm'!$U$4-50</f>
        <v>4450</v>
      </c>
      <c r="D5" s="246"/>
      <c r="E5" s="44">
        <f>+D5*C5</f>
        <v>0</v>
      </c>
      <c r="F5" s="54"/>
    </row>
    <row r="6" spans="1:6" x14ac:dyDescent="0.3">
      <c r="A6" s="50" t="s">
        <v>252</v>
      </c>
      <c r="B6" s="42" t="s">
        <v>86</v>
      </c>
      <c r="C6" s="43">
        <f>+'[2]Collares 10mm'!$U$4</f>
        <v>4500</v>
      </c>
      <c r="D6" s="246"/>
      <c r="E6" s="44">
        <f>+D6*C6</f>
        <v>0</v>
      </c>
      <c r="F6" s="54"/>
    </row>
    <row r="7" spans="1:6" ht="19.2" customHeight="1" x14ac:dyDescent="0.3">
      <c r="A7" s="45" t="s">
        <v>10</v>
      </c>
      <c r="B7" s="46" t="s">
        <v>12</v>
      </c>
      <c r="C7" s="47"/>
      <c r="D7" s="47"/>
      <c r="E7" s="48"/>
      <c r="F7" s="49" t="s">
        <v>89</v>
      </c>
    </row>
    <row r="8" spans="1:6" x14ac:dyDescent="0.3">
      <c r="A8" s="50" t="s">
        <v>321</v>
      </c>
      <c r="B8" s="51" t="s">
        <v>549</v>
      </c>
      <c r="C8" s="52">
        <f>+'[2]Collares 10mm'!$U$9</f>
        <v>5800</v>
      </c>
      <c r="D8" s="245"/>
      <c r="E8" s="53">
        <f>+D8*C8</f>
        <v>0</v>
      </c>
      <c r="F8" s="54"/>
    </row>
    <row r="9" spans="1:6" x14ac:dyDescent="0.3">
      <c r="A9" s="50" t="s">
        <v>322</v>
      </c>
      <c r="B9" s="51" t="s">
        <v>549</v>
      </c>
      <c r="C9" s="43">
        <f>+'[2]Collares 10mm'!$U$9+50</f>
        <v>5850</v>
      </c>
      <c r="D9" s="246"/>
      <c r="E9" s="44">
        <f>+D9*C9</f>
        <v>0</v>
      </c>
      <c r="F9" s="54"/>
    </row>
    <row r="10" spans="1:6" x14ac:dyDescent="0.3">
      <c r="A10" s="50" t="s">
        <v>323</v>
      </c>
      <c r="B10" s="51" t="s">
        <v>549</v>
      </c>
      <c r="C10" s="56">
        <f>+'[2]Collares 10mm'!$U$9+100</f>
        <v>5900</v>
      </c>
      <c r="D10" s="246"/>
      <c r="E10" s="57">
        <f>+D10*C10</f>
        <v>0</v>
      </c>
      <c r="F10" s="54"/>
    </row>
    <row r="11" spans="1:6" ht="19.2" customHeight="1" x14ac:dyDescent="0.3">
      <c r="A11" s="45" t="s">
        <v>10</v>
      </c>
      <c r="B11" s="46" t="s">
        <v>13</v>
      </c>
      <c r="C11" s="47"/>
      <c r="D11" s="47"/>
      <c r="E11" s="48"/>
      <c r="F11" s="49" t="s">
        <v>95</v>
      </c>
    </row>
    <row r="12" spans="1:6" x14ac:dyDescent="0.3">
      <c r="A12" s="50" t="s">
        <v>324</v>
      </c>
      <c r="B12" s="51" t="s">
        <v>93</v>
      </c>
      <c r="C12" s="52">
        <f>+'[2]Collares 10mm'!$U$13</f>
        <v>6800</v>
      </c>
      <c r="D12" s="245"/>
      <c r="E12" s="53">
        <f>+D12*C12</f>
        <v>0</v>
      </c>
      <c r="F12" s="54"/>
    </row>
    <row r="13" spans="1:6" x14ac:dyDescent="0.3">
      <c r="A13" s="50" t="s">
        <v>325</v>
      </c>
      <c r="B13" s="42" t="s">
        <v>94</v>
      </c>
      <c r="C13" s="43">
        <f>+'[2]Collares 10mm'!$U$13+50</f>
        <v>6850</v>
      </c>
      <c r="D13" s="246"/>
      <c r="E13" s="44">
        <f>+D13*C13</f>
        <v>0</v>
      </c>
      <c r="F13" s="54"/>
    </row>
    <row r="14" spans="1:6" x14ac:dyDescent="0.3">
      <c r="A14" s="50" t="s">
        <v>326</v>
      </c>
      <c r="B14" s="55" t="s">
        <v>97</v>
      </c>
      <c r="C14" s="56">
        <f>+'[2]Collares 10mm'!$U$13+100</f>
        <v>6900</v>
      </c>
      <c r="D14" s="246"/>
      <c r="E14" s="57">
        <f>+D14*C14</f>
        <v>0</v>
      </c>
      <c r="F14" s="54"/>
    </row>
    <row r="15" spans="1:6" ht="19.2" customHeight="1" x14ac:dyDescent="0.3">
      <c r="A15" s="45" t="s">
        <v>10</v>
      </c>
      <c r="B15" s="46" t="s">
        <v>90</v>
      </c>
      <c r="C15" s="47"/>
      <c r="D15" s="47"/>
      <c r="E15" s="48"/>
      <c r="F15" s="49" t="s">
        <v>96</v>
      </c>
    </row>
    <row r="16" spans="1:6" x14ac:dyDescent="0.3">
      <c r="A16" s="50" t="s">
        <v>480</v>
      </c>
      <c r="B16" s="51" t="s">
        <v>91</v>
      </c>
      <c r="C16" s="52">
        <f>+'[2]Collares 10mm'!$U$11</f>
        <v>8200</v>
      </c>
      <c r="D16" s="245"/>
      <c r="E16" s="53">
        <f>+D16*C16</f>
        <v>0</v>
      </c>
      <c r="F16" s="54"/>
    </row>
    <row r="17" spans="1:6" x14ac:dyDescent="0.3">
      <c r="A17" s="50" t="s">
        <v>481</v>
      </c>
      <c r="B17" s="42" t="s">
        <v>92</v>
      </c>
      <c r="C17" s="43">
        <f>+'[2]Collares 10mm'!$U$11+50</f>
        <v>8250</v>
      </c>
      <c r="D17" s="246"/>
      <c r="E17" s="44">
        <f>+D17*C17</f>
        <v>0</v>
      </c>
      <c r="F17" s="54"/>
    </row>
    <row r="18" spans="1:6" x14ac:dyDescent="0.3">
      <c r="A18" s="50" t="s">
        <v>482</v>
      </c>
      <c r="B18" s="55" t="s">
        <v>91</v>
      </c>
      <c r="C18" s="56">
        <f>+'[2]Collares 10mm'!$U$11+100</f>
        <v>8300</v>
      </c>
      <c r="D18" s="246"/>
      <c r="E18" s="57">
        <f>+D18*C18</f>
        <v>0</v>
      </c>
      <c r="F18" s="54"/>
    </row>
    <row r="19" spans="1:6" ht="19.2" customHeight="1" x14ac:dyDescent="0.3">
      <c r="A19" s="45" t="s">
        <v>10</v>
      </c>
      <c r="B19" s="46" t="s">
        <v>543</v>
      </c>
      <c r="C19" s="47"/>
      <c r="D19" s="47"/>
      <c r="E19" s="48"/>
      <c r="F19" s="49" t="s">
        <v>95</v>
      </c>
    </row>
    <row r="20" spans="1:6" x14ac:dyDescent="0.3">
      <c r="A20" s="50" t="s">
        <v>483</v>
      </c>
      <c r="B20" s="51" t="s">
        <v>99</v>
      </c>
      <c r="C20" s="52">
        <f>+'[2]Collares 10mm'!$U$22</f>
        <v>5800</v>
      </c>
      <c r="D20" s="247"/>
      <c r="E20" s="53">
        <f>+D20*C20</f>
        <v>0</v>
      </c>
      <c r="F20" s="54"/>
    </row>
    <row r="21" spans="1:6" x14ac:dyDescent="0.3">
      <c r="A21" s="50" t="s">
        <v>484</v>
      </c>
      <c r="B21" s="42" t="s">
        <v>101</v>
      </c>
      <c r="C21" s="43">
        <f>+'[2]Collares 10mm'!$U$22+50</f>
        <v>5850</v>
      </c>
      <c r="D21" s="246"/>
      <c r="E21" s="44">
        <f>+D21*C21</f>
        <v>0</v>
      </c>
      <c r="F21" s="54"/>
    </row>
    <row r="22" spans="1:6" x14ac:dyDescent="0.3">
      <c r="A22" s="50" t="s">
        <v>485</v>
      </c>
      <c r="B22" s="55" t="s">
        <v>100</v>
      </c>
      <c r="C22" s="56">
        <f>+'[2]Collares 10mm'!$U$22+100</f>
        <v>5900</v>
      </c>
      <c r="D22" s="245"/>
      <c r="E22" s="53">
        <f>+D22*C22</f>
        <v>0</v>
      </c>
      <c r="F22" s="54"/>
    </row>
    <row r="23" spans="1:6" ht="19.2" customHeight="1" x14ac:dyDescent="0.3">
      <c r="A23" s="45" t="s">
        <v>10</v>
      </c>
      <c r="B23" s="46" t="s">
        <v>15</v>
      </c>
      <c r="C23" s="58"/>
      <c r="D23" s="59"/>
      <c r="E23" s="60"/>
      <c r="F23" s="49" t="s">
        <v>103</v>
      </c>
    </row>
    <row r="24" spans="1:6" x14ac:dyDescent="0.3">
      <c r="A24" s="50" t="s">
        <v>486</v>
      </c>
      <c r="B24" s="51" t="s">
        <v>102</v>
      </c>
      <c r="C24" s="52">
        <f>+'[2]Collares 10mm'!$U$48</f>
        <v>5000</v>
      </c>
      <c r="D24" s="245"/>
      <c r="E24" s="53">
        <f>+D24*C24</f>
        <v>0</v>
      </c>
      <c r="F24" s="54"/>
    </row>
    <row r="25" spans="1:6" x14ac:dyDescent="0.3">
      <c r="A25" s="50" t="s">
        <v>487</v>
      </c>
      <c r="B25" s="42" t="s">
        <v>16</v>
      </c>
      <c r="C25" s="43">
        <f>+'[2]Collares 10mm'!$U$48+50</f>
        <v>5050</v>
      </c>
      <c r="D25" s="246"/>
      <c r="E25" s="44">
        <f>+D25*C25</f>
        <v>0</v>
      </c>
      <c r="F25" s="54"/>
    </row>
    <row r="26" spans="1:6" x14ac:dyDescent="0.3">
      <c r="A26" s="50" t="s">
        <v>488</v>
      </c>
      <c r="B26" s="55" t="s">
        <v>17</v>
      </c>
      <c r="C26" s="56">
        <f>+'[2]Collares 10mm'!$U$48+100</f>
        <v>5100</v>
      </c>
      <c r="D26" s="246"/>
      <c r="E26" s="57">
        <f>+D26*C26</f>
        <v>0</v>
      </c>
      <c r="F26" s="54"/>
    </row>
    <row r="27" spans="1:6" ht="29.25" customHeight="1" x14ac:dyDescent="0.3">
      <c r="A27" s="45" t="s">
        <v>10</v>
      </c>
      <c r="B27" s="61" t="s">
        <v>18</v>
      </c>
      <c r="C27" s="62"/>
      <c r="D27" s="47"/>
      <c r="E27" s="63"/>
      <c r="F27" s="49" t="s">
        <v>87</v>
      </c>
    </row>
    <row r="28" spans="1:6" x14ac:dyDescent="0.3">
      <c r="A28" s="64" t="s">
        <v>489</v>
      </c>
      <c r="B28" s="65" t="s">
        <v>104</v>
      </c>
      <c r="C28" s="66">
        <f>+'[2]Collares 10mm'!$U$26</f>
        <v>5500</v>
      </c>
      <c r="D28" s="245"/>
      <c r="E28" s="53">
        <f>+D28*C28</f>
        <v>0</v>
      </c>
      <c r="F28" s="54"/>
    </row>
    <row r="29" spans="1:6" x14ac:dyDescent="0.3">
      <c r="A29" s="64" t="s">
        <v>490</v>
      </c>
      <c r="B29" s="67" t="s">
        <v>105</v>
      </c>
      <c r="C29" s="68">
        <f>+'[2]Collares 10mm'!$U$26+50</f>
        <v>5550</v>
      </c>
      <c r="D29" s="246"/>
      <c r="E29" s="44">
        <f>+D29*C29</f>
        <v>0</v>
      </c>
      <c r="F29" s="54"/>
    </row>
    <row r="30" spans="1:6" x14ac:dyDescent="0.3">
      <c r="A30" s="64" t="s">
        <v>491</v>
      </c>
      <c r="B30" s="69" t="s">
        <v>106</v>
      </c>
      <c r="C30" s="70">
        <f>+'[2]Collares 10mm'!$U$26+100</f>
        <v>5600</v>
      </c>
      <c r="D30" s="246"/>
      <c r="E30" s="57">
        <f>+D30*C30</f>
        <v>0</v>
      </c>
      <c r="F30" s="54"/>
    </row>
    <row r="31" spans="1:6" ht="29.25" customHeight="1" x14ac:dyDescent="0.3">
      <c r="A31" s="45" t="s">
        <v>10</v>
      </c>
      <c r="B31" s="61" t="s">
        <v>19</v>
      </c>
      <c r="C31" s="62"/>
      <c r="D31" s="47"/>
      <c r="E31" s="63"/>
      <c r="F31" s="49" t="s">
        <v>87</v>
      </c>
    </row>
    <row r="32" spans="1:6" x14ac:dyDescent="0.3">
      <c r="A32" s="64" t="s">
        <v>492</v>
      </c>
      <c r="B32" s="65" t="s">
        <v>19</v>
      </c>
      <c r="C32" s="66">
        <f>+'[2]Collares 10mm'!$U$28</f>
        <v>5500</v>
      </c>
      <c r="D32" s="245"/>
      <c r="E32" s="53">
        <f>+D32*C32</f>
        <v>0</v>
      </c>
      <c r="F32" s="54"/>
    </row>
    <row r="33" spans="1:6" x14ac:dyDescent="0.3">
      <c r="A33" s="64" t="s">
        <v>493</v>
      </c>
      <c r="B33" s="67" t="s">
        <v>107</v>
      </c>
      <c r="C33" s="68">
        <f>+'[2]Collares 10mm'!$U$28+50</f>
        <v>5550</v>
      </c>
      <c r="D33" s="246"/>
      <c r="E33" s="44">
        <f>+D33*C33</f>
        <v>0</v>
      </c>
      <c r="F33" s="54"/>
    </row>
    <row r="34" spans="1:6" x14ac:dyDescent="0.3">
      <c r="A34" s="64" t="s">
        <v>494</v>
      </c>
      <c r="B34" s="69" t="s">
        <v>108</v>
      </c>
      <c r="C34" s="70">
        <f>+'[2]Collares 10mm'!$U$28+100</f>
        <v>5600</v>
      </c>
      <c r="D34" s="246"/>
      <c r="E34" s="57">
        <f>+D34*C34</f>
        <v>0</v>
      </c>
      <c r="F34" s="54"/>
    </row>
    <row r="35" spans="1:6" ht="30" customHeight="1" x14ac:dyDescent="0.3">
      <c r="A35" s="45" t="s">
        <v>7</v>
      </c>
      <c r="B35" s="46" t="s">
        <v>84</v>
      </c>
      <c r="C35" s="71"/>
      <c r="D35" s="72"/>
      <c r="E35" s="60"/>
      <c r="F35" s="256" t="s">
        <v>88</v>
      </c>
    </row>
    <row r="36" spans="1:6" x14ac:dyDescent="0.3">
      <c r="A36" s="50" t="s">
        <v>495</v>
      </c>
      <c r="B36" s="51" t="s">
        <v>82</v>
      </c>
      <c r="C36" s="52">
        <f>+'[2]Collares 10mm'!$U$3</f>
        <v>5500</v>
      </c>
      <c r="D36" s="245"/>
      <c r="E36" s="73">
        <f>+D36*C36</f>
        <v>0</v>
      </c>
      <c r="F36" s="54"/>
    </row>
    <row r="37" spans="1:6" x14ac:dyDescent="0.3">
      <c r="A37" s="50" t="s">
        <v>496</v>
      </c>
      <c r="B37" s="42" t="s">
        <v>83</v>
      </c>
      <c r="C37" s="43">
        <f>+'[2]Collares 10mm'!$U$3+50</f>
        <v>5550</v>
      </c>
      <c r="D37" s="246"/>
      <c r="E37" s="44">
        <f>+D37*C37</f>
        <v>0</v>
      </c>
      <c r="F37" s="54"/>
    </row>
    <row r="38" spans="1:6" x14ac:dyDescent="0.3">
      <c r="A38" s="50" t="s">
        <v>497</v>
      </c>
      <c r="B38" s="55" t="s">
        <v>9</v>
      </c>
      <c r="C38" s="56">
        <f>+'[2]Collares 10mm'!$U$3+100</f>
        <v>5600</v>
      </c>
      <c r="D38" s="246"/>
      <c r="E38" s="57">
        <f>+D38*C38</f>
        <v>0</v>
      </c>
      <c r="F38" s="54"/>
    </row>
    <row r="39" spans="1:6" ht="27" customHeight="1" x14ac:dyDescent="0.3">
      <c r="A39" s="45" t="s">
        <v>10</v>
      </c>
      <c r="B39" s="46" t="s">
        <v>14</v>
      </c>
      <c r="C39" s="47"/>
      <c r="D39" s="47"/>
      <c r="E39" s="48"/>
      <c r="F39" s="74" t="s">
        <v>98</v>
      </c>
    </row>
    <row r="40" spans="1:6" x14ac:dyDescent="0.3">
      <c r="A40" s="50" t="s">
        <v>498</v>
      </c>
      <c r="B40" s="51" t="s">
        <v>109</v>
      </c>
      <c r="C40" s="52">
        <f>+'[2]Collares 10mm'!$U$17</f>
        <v>5550</v>
      </c>
      <c r="D40" s="245"/>
      <c r="E40" s="53">
        <f>+D40*C40</f>
        <v>0</v>
      </c>
      <c r="F40" s="54"/>
    </row>
    <row r="41" spans="1:6" x14ac:dyDescent="0.3">
      <c r="A41" s="50" t="s">
        <v>499</v>
      </c>
      <c r="B41" s="42" t="s">
        <v>109</v>
      </c>
      <c r="C41" s="43">
        <f>+'[2]Collares 10mm'!$U$17+50</f>
        <v>5600</v>
      </c>
      <c r="D41" s="246"/>
      <c r="E41" s="44">
        <f>+D41*C41</f>
        <v>0</v>
      </c>
      <c r="F41" s="54"/>
    </row>
    <row r="42" spans="1:6" x14ac:dyDescent="0.3">
      <c r="A42" s="50" t="s">
        <v>500</v>
      </c>
      <c r="B42" s="55" t="s">
        <v>109</v>
      </c>
      <c r="C42" s="56">
        <f>+'[2]Collares 10mm'!$U$17+100</f>
        <v>5650</v>
      </c>
      <c r="D42" s="246"/>
      <c r="E42" s="57">
        <f>+D42*C42</f>
        <v>0</v>
      </c>
      <c r="F42" s="54"/>
    </row>
    <row r="43" spans="1:6" ht="19.2" customHeight="1" x14ac:dyDescent="0.3">
      <c r="A43" s="45" t="s">
        <v>10</v>
      </c>
      <c r="B43" s="61" t="s">
        <v>544</v>
      </c>
      <c r="C43" s="58"/>
      <c r="D43" s="47"/>
      <c r="E43" s="60"/>
      <c r="F43" s="74" t="s">
        <v>110</v>
      </c>
    </row>
    <row r="44" spans="1:6" x14ac:dyDescent="0.3">
      <c r="A44" s="64">
        <v>1073</v>
      </c>
      <c r="B44" s="67" t="s">
        <v>545</v>
      </c>
      <c r="C44" s="68">
        <f>+'[2]Collar ajustable'!$U$3</f>
        <v>4350</v>
      </c>
      <c r="D44" s="245"/>
      <c r="E44" s="44">
        <f>+D44*C44</f>
        <v>0</v>
      </c>
      <c r="F44" s="54"/>
    </row>
    <row r="45" spans="1:6" x14ac:dyDescent="0.3">
      <c r="A45" s="64">
        <v>1074</v>
      </c>
      <c r="B45" s="67" t="s">
        <v>546</v>
      </c>
      <c r="C45" s="68">
        <f>+'[2]Collar ajustable'!$U$4</f>
        <v>4650</v>
      </c>
      <c r="D45" s="245"/>
      <c r="E45" s="44">
        <f>+D45*C45</f>
        <v>0</v>
      </c>
      <c r="F45" s="54"/>
    </row>
    <row r="46" spans="1:6" x14ac:dyDescent="0.3">
      <c r="A46" s="64">
        <v>1075</v>
      </c>
      <c r="B46" s="67" t="s">
        <v>547</v>
      </c>
      <c r="C46" s="68">
        <f>+'[2]Collar ajustable'!$U$5</f>
        <v>4800</v>
      </c>
      <c r="D46" s="246"/>
      <c r="E46" s="44">
        <f>+D46*C46</f>
        <v>0</v>
      </c>
      <c r="F46" s="54"/>
    </row>
    <row r="47" spans="1:6" ht="15" thickBot="1" x14ac:dyDescent="0.35">
      <c r="A47" s="241">
        <v>1076</v>
      </c>
      <c r="B47" s="242" t="s">
        <v>548</v>
      </c>
      <c r="C47" s="243">
        <f>+'[2]Collar ajustable'!$U$6</f>
        <v>4950</v>
      </c>
      <c r="D47" s="246"/>
      <c r="E47" s="159">
        <f>+D47*C47</f>
        <v>0</v>
      </c>
      <c r="F47" s="160"/>
    </row>
    <row r="48" spans="1:6" ht="23.4" customHeight="1" thickBot="1" x14ac:dyDescent="0.35">
      <c r="A48" s="75" t="s">
        <v>111</v>
      </c>
      <c r="B48" s="76"/>
      <c r="C48" s="77" t="s">
        <v>182</v>
      </c>
      <c r="D48" s="78">
        <f>SUM(D4:D47)</f>
        <v>0</v>
      </c>
      <c r="E48" s="79">
        <f>SUM(E4:E47)</f>
        <v>0</v>
      </c>
      <c r="F48" s="80"/>
    </row>
    <row r="49" spans="1:6" ht="15" thickBot="1" x14ac:dyDescent="0.35">
      <c r="A49" s="80"/>
      <c r="B49" s="81"/>
      <c r="C49" s="80"/>
      <c r="D49" s="80"/>
      <c r="E49" s="80"/>
      <c r="F49" s="80"/>
    </row>
    <row r="50" spans="1:6" ht="21" customHeight="1" thickBot="1" x14ac:dyDescent="0.35">
      <c r="A50" s="401" t="s">
        <v>617</v>
      </c>
      <c r="B50" s="403"/>
      <c r="C50" s="403"/>
      <c r="D50" s="403"/>
      <c r="E50" s="403"/>
      <c r="F50" s="228"/>
    </row>
    <row r="51" spans="1:6" ht="18" thickBot="1" x14ac:dyDescent="0.35">
      <c r="A51" s="36"/>
      <c r="B51" s="83" t="s">
        <v>175</v>
      </c>
      <c r="C51" s="38" t="s">
        <v>2</v>
      </c>
      <c r="D51" s="39" t="s">
        <v>4</v>
      </c>
      <c r="E51" s="40" t="s">
        <v>3</v>
      </c>
      <c r="F51" s="232" t="s">
        <v>8</v>
      </c>
    </row>
    <row r="52" spans="1:6" ht="15.6" x14ac:dyDescent="0.3">
      <c r="A52" s="45" t="s">
        <v>10</v>
      </c>
      <c r="B52" s="46" t="s">
        <v>186</v>
      </c>
      <c r="C52" s="58"/>
      <c r="D52" s="72"/>
      <c r="E52" s="60"/>
      <c r="F52" s="90" t="s">
        <v>171</v>
      </c>
    </row>
    <row r="53" spans="1:6" x14ac:dyDescent="0.3">
      <c r="A53" s="317">
        <v>1090</v>
      </c>
      <c r="B53" s="87" t="s">
        <v>633</v>
      </c>
      <c r="C53" s="52">
        <f>+'[4]Pretal 10 mm'!$S$5+'[4]Pretal 10 mm'!$S$38</f>
        <v>17050</v>
      </c>
      <c r="D53" s="245"/>
      <c r="E53" s="52">
        <f>+D53*C53</f>
        <v>0</v>
      </c>
      <c r="F53" s="8"/>
    </row>
    <row r="54" spans="1:6" ht="15" thickBot="1" x14ac:dyDescent="0.35">
      <c r="A54" s="120" t="s">
        <v>621</v>
      </c>
      <c r="B54" s="89" t="s">
        <v>181</v>
      </c>
      <c r="C54" s="56">
        <f>+'[4]Pretal 10 mm'!$S$5</f>
        <v>3500</v>
      </c>
      <c r="D54" s="329"/>
      <c r="E54" s="326" t="s">
        <v>180</v>
      </c>
      <c r="F54" s="9"/>
    </row>
    <row r="55" spans="1:6" ht="15.6" x14ac:dyDescent="0.3">
      <c r="A55" s="300" t="s">
        <v>10</v>
      </c>
      <c r="B55" s="330" t="s">
        <v>188</v>
      </c>
      <c r="C55" s="331"/>
      <c r="D55" s="332"/>
      <c r="E55" s="331"/>
      <c r="F55" s="85" t="s">
        <v>177</v>
      </c>
    </row>
    <row r="56" spans="1:6" x14ac:dyDescent="0.3">
      <c r="A56" s="86" t="s">
        <v>512</v>
      </c>
      <c r="B56" s="87" t="s">
        <v>187</v>
      </c>
      <c r="C56" s="52"/>
      <c r="D56" s="245"/>
      <c r="E56" s="52">
        <f>+D56*C56</f>
        <v>0</v>
      </c>
      <c r="F56" s="8"/>
    </row>
    <row r="57" spans="1:6" ht="15" thickBot="1" x14ac:dyDescent="0.35">
      <c r="A57" s="120" t="s">
        <v>620</v>
      </c>
      <c r="B57" s="89" t="s">
        <v>176</v>
      </c>
      <c r="C57" s="56"/>
      <c r="D57" s="329"/>
      <c r="E57" s="56">
        <f>+D57*C57</f>
        <v>0</v>
      </c>
      <c r="F57" s="8"/>
    </row>
    <row r="58" spans="1:6" ht="22.5" customHeight="1" thickBot="1" x14ac:dyDescent="0.35">
      <c r="A58" s="93" t="s">
        <v>111</v>
      </c>
      <c r="B58" s="82"/>
      <c r="C58" s="181" t="s">
        <v>182</v>
      </c>
      <c r="D58" s="33">
        <f>SUM(D52:D54)</f>
        <v>0</v>
      </c>
      <c r="E58" s="182">
        <f>SUM(E52:E54)</f>
        <v>0</v>
      </c>
      <c r="F58" s="80"/>
    </row>
  </sheetData>
  <mergeCells count="2">
    <mergeCell ref="A1:E1"/>
    <mergeCell ref="A50:E5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F74"/>
  <sheetViews>
    <sheetView topLeftCell="A52" workbookViewId="0">
      <selection activeCell="B67" sqref="B67"/>
    </sheetView>
  </sheetViews>
  <sheetFormatPr baseColWidth="10" defaultRowHeight="14.4" x14ac:dyDescent="0.3"/>
  <cols>
    <col min="1" max="1" width="10.88671875" customWidth="1"/>
    <col min="2" max="2" width="64.44140625" customWidth="1"/>
    <col min="3" max="3" width="11.88671875" bestFit="1" customWidth="1"/>
    <col min="4" max="4" width="9.44140625" customWidth="1"/>
    <col min="5" max="5" width="17.88671875" customWidth="1"/>
    <col min="6" max="6" width="76.6640625" customWidth="1"/>
  </cols>
  <sheetData>
    <row r="1" spans="1:6" ht="23.25" customHeight="1" thickBot="1" x14ac:dyDescent="0.35">
      <c r="A1" s="401" t="s">
        <v>20</v>
      </c>
      <c r="B1" s="400"/>
      <c r="C1" s="400"/>
      <c r="D1" s="400"/>
      <c r="E1" s="400"/>
      <c r="F1" s="225"/>
    </row>
    <row r="2" spans="1:6" ht="37.200000000000003" customHeight="1" thickBot="1" x14ac:dyDescent="0.35">
      <c r="A2" s="94"/>
      <c r="B2" s="95" t="s">
        <v>5</v>
      </c>
      <c r="C2" s="38" t="s">
        <v>2</v>
      </c>
      <c r="D2" s="96" t="s">
        <v>4</v>
      </c>
      <c r="E2" s="97" t="s">
        <v>3</v>
      </c>
      <c r="F2" s="234" t="s">
        <v>8</v>
      </c>
    </row>
    <row r="3" spans="1:6" ht="28.2" customHeight="1" x14ac:dyDescent="0.3">
      <c r="A3" s="306" t="s">
        <v>10</v>
      </c>
      <c r="B3" s="98" t="s">
        <v>35</v>
      </c>
      <c r="C3" s="99"/>
      <c r="D3" s="100"/>
      <c r="E3" s="101"/>
      <c r="F3" s="102" t="s">
        <v>131</v>
      </c>
    </row>
    <row r="4" spans="1:6" x14ac:dyDescent="0.3">
      <c r="A4" s="50" t="s">
        <v>255</v>
      </c>
      <c r="B4" s="103" t="s">
        <v>130</v>
      </c>
      <c r="C4" s="104">
        <f>+'[2]C.PO.15 mm'!$S$28</f>
        <v>4550</v>
      </c>
      <c r="D4" s="248"/>
      <c r="E4" s="105">
        <f>+D4*C4</f>
        <v>0</v>
      </c>
      <c r="F4" s="106"/>
    </row>
    <row r="5" spans="1:6" x14ac:dyDescent="0.3">
      <c r="A5" s="50" t="s">
        <v>256</v>
      </c>
      <c r="B5" s="107" t="s">
        <v>36</v>
      </c>
      <c r="C5" s="108">
        <f>+'[2]C.PO.15 mm'!$S$29</f>
        <v>4600</v>
      </c>
      <c r="D5" s="249"/>
      <c r="E5" s="109">
        <f>+D5*C5</f>
        <v>0</v>
      </c>
      <c r="F5" s="106"/>
    </row>
    <row r="6" spans="1:6" x14ac:dyDescent="0.3">
      <c r="A6" s="50" t="s">
        <v>257</v>
      </c>
      <c r="B6" s="107" t="s">
        <v>36</v>
      </c>
      <c r="C6" s="108">
        <f>+'[2]C.PO.15 mm'!$S$30</f>
        <v>4650</v>
      </c>
      <c r="D6" s="249"/>
      <c r="E6" s="109">
        <f>+D6*C6</f>
        <v>0</v>
      </c>
      <c r="F6" s="106"/>
    </row>
    <row r="7" spans="1:6" x14ac:dyDescent="0.3">
      <c r="A7" s="50" t="s">
        <v>258</v>
      </c>
      <c r="B7" s="107" t="s">
        <v>36</v>
      </c>
      <c r="C7" s="108">
        <f>+'[2]C.PO.15 mm'!$S$31</f>
        <v>4700</v>
      </c>
      <c r="D7" s="249"/>
      <c r="E7" s="109">
        <f>+D7*C7</f>
        <v>0</v>
      </c>
      <c r="F7" s="106"/>
    </row>
    <row r="8" spans="1:6" ht="15.75" customHeight="1" x14ac:dyDescent="0.3">
      <c r="A8" s="50" t="s">
        <v>328</v>
      </c>
      <c r="B8" s="110" t="s">
        <v>132</v>
      </c>
      <c r="C8" s="111">
        <f>+'[2]C.PO.15 mm'!$S$3</f>
        <v>3970</v>
      </c>
      <c r="D8" s="250"/>
      <c r="E8" s="112">
        <f>+D8*C8</f>
        <v>0</v>
      </c>
      <c r="F8" s="106"/>
    </row>
    <row r="9" spans="1:6" ht="20.399999999999999" x14ac:dyDescent="0.3">
      <c r="A9" s="45" t="s">
        <v>10</v>
      </c>
      <c r="B9" s="113" t="s">
        <v>23</v>
      </c>
      <c r="C9" s="114"/>
      <c r="D9" s="115"/>
      <c r="E9" s="116"/>
      <c r="F9" s="117" t="s">
        <v>236</v>
      </c>
    </row>
    <row r="10" spans="1:6" x14ac:dyDescent="0.3">
      <c r="A10" s="50" t="s">
        <v>332</v>
      </c>
      <c r="B10" s="118" t="s">
        <v>115</v>
      </c>
      <c r="C10" s="104">
        <f>+'[2]Collares15 mm'!$U$10</f>
        <v>7150</v>
      </c>
      <c r="D10" s="248"/>
      <c r="E10" s="105">
        <f>+D10*C10</f>
        <v>0</v>
      </c>
      <c r="F10" s="106"/>
    </row>
    <row r="11" spans="1:6" x14ac:dyDescent="0.3">
      <c r="A11" s="50" t="s">
        <v>333</v>
      </c>
      <c r="B11" s="119" t="s">
        <v>116</v>
      </c>
      <c r="C11" s="108">
        <f>+'[2]Collares15 mm'!$U$10+50</f>
        <v>7200</v>
      </c>
      <c r="D11" s="249"/>
      <c r="E11" s="109">
        <f>+D11*C11</f>
        <v>0</v>
      </c>
      <c r="F11" s="316"/>
    </row>
    <row r="12" spans="1:6" ht="15.75" customHeight="1" x14ac:dyDescent="0.3">
      <c r="A12" s="120" t="s">
        <v>334</v>
      </c>
      <c r="B12" s="121" t="s">
        <v>23</v>
      </c>
      <c r="C12" s="111">
        <f>+'[2]Collares15 mm'!$U$10+100</f>
        <v>7250</v>
      </c>
      <c r="D12" s="250"/>
      <c r="E12" s="112">
        <f>+D12*C12</f>
        <v>0</v>
      </c>
      <c r="F12" s="106"/>
    </row>
    <row r="13" spans="1:6" ht="27.9" customHeight="1" x14ac:dyDescent="0.3">
      <c r="A13" s="45" t="s">
        <v>10</v>
      </c>
      <c r="B13" s="113" t="s">
        <v>21</v>
      </c>
      <c r="C13" s="114"/>
      <c r="D13" s="115"/>
      <c r="E13" s="125"/>
      <c r="F13" s="90" t="s">
        <v>236</v>
      </c>
    </row>
    <row r="14" spans="1:6" x14ac:dyDescent="0.3">
      <c r="A14" s="50" t="s">
        <v>335</v>
      </c>
      <c r="B14" s="118" t="s">
        <v>112</v>
      </c>
      <c r="C14" s="104">
        <f>+'[2]Collares15 mm'!$U$9</f>
        <v>5950</v>
      </c>
      <c r="D14" s="248"/>
      <c r="E14" s="105">
        <f>+D14*C14</f>
        <v>0</v>
      </c>
      <c r="F14" s="106"/>
    </row>
    <row r="15" spans="1:6" x14ac:dyDescent="0.3">
      <c r="A15" s="50" t="s">
        <v>336</v>
      </c>
      <c r="B15" s="119" t="s">
        <v>113</v>
      </c>
      <c r="C15" s="108">
        <f>+'[2]Collares15 mm'!$U$9+50</f>
        <v>6000</v>
      </c>
      <c r="D15" s="249"/>
      <c r="E15" s="109">
        <f>+D15*C15</f>
        <v>0</v>
      </c>
      <c r="F15" s="106"/>
    </row>
    <row r="16" spans="1:6" x14ac:dyDescent="0.3">
      <c r="A16" s="50" t="s">
        <v>337</v>
      </c>
      <c r="B16" s="119" t="s">
        <v>114</v>
      </c>
      <c r="C16" s="108">
        <f>+'[2]Collares15 mm'!$U$9+100</f>
        <v>6050</v>
      </c>
      <c r="D16" s="249"/>
      <c r="E16" s="109">
        <f>+D16*C16</f>
        <v>0</v>
      </c>
      <c r="F16" s="106"/>
    </row>
    <row r="17" spans="1:6" x14ac:dyDescent="0.3">
      <c r="A17" s="50" t="s">
        <v>338</v>
      </c>
      <c r="B17" s="121" t="s">
        <v>22</v>
      </c>
      <c r="C17" s="111">
        <f>+'[2]Collares15 mm'!$U$9+150</f>
        <v>6100</v>
      </c>
      <c r="D17" s="249"/>
      <c r="E17" s="112">
        <f>+D17*C17</f>
        <v>0</v>
      </c>
      <c r="F17" s="106"/>
    </row>
    <row r="18" spans="1:6" ht="20.399999999999999" x14ac:dyDescent="0.3">
      <c r="A18" s="45" t="s">
        <v>10</v>
      </c>
      <c r="B18" s="113" t="s">
        <v>24</v>
      </c>
      <c r="C18" s="114"/>
      <c r="D18" s="115"/>
      <c r="E18" s="116"/>
      <c r="F18" s="117" t="s">
        <v>236</v>
      </c>
    </row>
    <row r="19" spans="1:6" x14ac:dyDescent="0.3">
      <c r="A19" s="123" t="s">
        <v>339</v>
      </c>
      <c r="B19" s="118" t="s">
        <v>117</v>
      </c>
      <c r="C19" s="104">
        <f>+'[2]Collares15 mm'!$U$12</f>
        <v>6550</v>
      </c>
      <c r="D19" s="248"/>
      <c r="E19" s="105">
        <f>+D19*C19</f>
        <v>0</v>
      </c>
      <c r="F19" s="106"/>
    </row>
    <row r="20" spans="1:6" x14ac:dyDescent="0.3">
      <c r="A20" s="50" t="s">
        <v>340</v>
      </c>
      <c r="B20" s="119" t="s">
        <v>118</v>
      </c>
      <c r="C20" s="108">
        <f>+'[2]Collares15 mm'!$U$12+50</f>
        <v>6600</v>
      </c>
      <c r="D20" s="249"/>
      <c r="E20" s="109">
        <f>+D20*C20</f>
        <v>0</v>
      </c>
      <c r="F20" s="106"/>
    </row>
    <row r="21" spans="1:6" ht="16.5" customHeight="1" x14ac:dyDescent="0.3">
      <c r="A21" s="123" t="s">
        <v>341</v>
      </c>
      <c r="B21" s="119" t="s">
        <v>119</v>
      </c>
      <c r="C21" s="108">
        <f>+'[2]Collares15 mm'!$U$12+100</f>
        <v>6650</v>
      </c>
      <c r="D21" s="249"/>
      <c r="E21" s="109">
        <f>+D21*C21</f>
        <v>0</v>
      </c>
      <c r="F21" s="106"/>
    </row>
    <row r="22" spans="1:6" x14ac:dyDescent="0.3">
      <c r="A22" s="50" t="s">
        <v>342</v>
      </c>
      <c r="B22" s="119" t="s">
        <v>25</v>
      </c>
      <c r="C22" s="108">
        <f>+'[2]Collares15 mm'!$U$12+150</f>
        <v>6700</v>
      </c>
      <c r="D22" s="249"/>
      <c r="E22" s="109">
        <f>+D22*C22</f>
        <v>0</v>
      </c>
      <c r="F22" s="106"/>
    </row>
    <row r="23" spans="1:6" x14ac:dyDescent="0.3">
      <c r="A23" s="123" t="s">
        <v>343</v>
      </c>
      <c r="B23" s="121" t="s">
        <v>25</v>
      </c>
      <c r="C23" s="111">
        <f>+'[2]Collares15 mm'!$U$12+200</f>
        <v>6750</v>
      </c>
      <c r="D23" s="250"/>
      <c r="E23" s="112">
        <f>+D23*C23</f>
        <v>0</v>
      </c>
      <c r="F23" s="106"/>
    </row>
    <row r="24" spans="1:6" ht="20.399999999999999" x14ac:dyDescent="0.3">
      <c r="A24" s="124" t="s">
        <v>10</v>
      </c>
      <c r="B24" s="113" t="s">
        <v>28</v>
      </c>
      <c r="C24" s="114"/>
      <c r="D24" s="115"/>
      <c r="E24" s="125"/>
      <c r="F24" s="117" t="s">
        <v>236</v>
      </c>
    </row>
    <row r="25" spans="1:6" x14ac:dyDescent="0.3">
      <c r="A25" s="50" t="s">
        <v>344</v>
      </c>
      <c r="B25" s="118" t="s">
        <v>123</v>
      </c>
      <c r="C25" s="104">
        <f>+'[2]C.PO.15 mm'!$S$34</f>
        <v>5200</v>
      </c>
      <c r="D25" s="248"/>
      <c r="E25" s="105">
        <f t="shared" ref="E25:E30" si="0">+D25*C25</f>
        <v>0</v>
      </c>
      <c r="F25" s="106"/>
    </row>
    <row r="26" spans="1:6" x14ac:dyDescent="0.3">
      <c r="A26" s="50" t="s">
        <v>345</v>
      </c>
      <c r="B26" s="119" t="s">
        <v>29</v>
      </c>
      <c r="C26" s="108">
        <f>+'[2]C.PO.15 mm'!$S$35</f>
        <v>5250</v>
      </c>
      <c r="D26" s="249"/>
      <c r="E26" s="109">
        <f t="shared" si="0"/>
        <v>0</v>
      </c>
      <c r="F26" s="106"/>
    </row>
    <row r="27" spans="1:6" x14ac:dyDescent="0.3">
      <c r="A27" s="50" t="s">
        <v>346</v>
      </c>
      <c r="B27" s="119" t="s">
        <v>30</v>
      </c>
      <c r="C27" s="108">
        <f>+'[2]C.PO.15 mm'!$S$36</f>
        <v>5300</v>
      </c>
      <c r="D27" s="249"/>
      <c r="E27" s="109">
        <f t="shared" si="0"/>
        <v>0</v>
      </c>
      <c r="F27" s="106"/>
    </row>
    <row r="28" spans="1:6" x14ac:dyDescent="0.3">
      <c r="A28" s="50" t="s">
        <v>347</v>
      </c>
      <c r="B28" s="119" t="s">
        <v>31</v>
      </c>
      <c r="C28" s="108">
        <f>+'[2]C.PO.15 mm'!$S$37</f>
        <v>5350</v>
      </c>
      <c r="D28" s="248"/>
      <c r="E28" s="109">
        <f t="shared" si="0"/>
        <v>0</v>
      </c>
      <c r="F28" s="12"/>
    </row>
    <row r="29" spans="1:6" x14ac:dyDescent="0.3">
      <c r="A29" s="50" t="s">
        <v>348</v>
      </c>
      <c r="B29" s="119" t="s">
        <v>31</v>
      </c>
      <c r="C29" s="108">
        <f>+'[2]C.PO.15 mm'!$S$37+50</f>
        <v>5400</v>
      </c>
      <c r="D29" s="249"/>
      <c r="E29" s="109">
        <f t="shared" si="0"/>
        <v>0</v>
      </c>
      <c r="F29" s="316"/>
    </row>
    <row r="30" spans="1:6" x14ac:dyDescent="0.3">
      <c r="A30" s="50" t="s">
        <v>349</v>
      </c>
      <c r="B30" s="121" t="s">
        <v>122</v>
      </c>
      <c r="C30" s="111">
        <f>+'[2]C.PO.15 mm'!$S$6</f>
        <v>5800</v>
      </c>
      <c r="D30" s="250"/>
      <c r="E30" s="112">
        <f t="shared" si="0"/>
        <v>0</v>
      </c>
      <c r="F30" s="316"/>
    </row>
    <row r="31" spans="1:6" ht="16.5" customHeight="1" x14ac:dyDescent="0.3">
      <c r="A31" s="45" t="s">
        <v>10</v>
      </c>
      <c r="B31" s="46" t="s">
        <v>593</v>
      </c>
      <c r="C31" s="114"/>
      <c r="D31" s="115"/>
      <c r="E31" s="125"/>
      <c r="F31" s="285" t="s">
        <v>551</v>
      </c>
    </row>
    <row r="32" spans="1:6" x14ac:dyDescent="0.3">
      <c r="A32" s="123" t="s">
        <v>599</v>
      </c>
      <c r="B32" s="118" t="s">
        <v>597</v>
      </c>
      <c r="C32" s="104">
        <f>+'[2]C.PO.15 mm'!$S$40</f>
        <v>5800</v>
      </c>
      <c r="D32" s="254"/>
      <c r="E32" s="105">
        <f t="shared" ref="E32:E37" si="1">+D32*C32</f>
        <v>0</v>
      </c>
      <c r="F32" s="135"/>
    </row>
    <row r="33" spans="1:6" x14ac:dyDescent="0.3">
      <c r="A33" s="123" t="s">
        <v>600</v>
      </c>
      <c r="B33" s="119" t="s">
        <v>597</v>
      </c>
      <c r="C33" s="108">
        <f>+'[2]C.PO.15 mm'!$S$41</f>
        <v>5850</v>
      </c>
      <c r="D33" s="252"/>
      <c r="E33" s="109">
        <f t="shared" si="1"/>
        <v>0</v>
      </c>
      <c r="F33" s="135"/>
    </row>
    <row r="34" spans="1:6" x14ac:dyDescent="0.3">
      <c r="A34" s="123" t="s">
        <v>601</v>
      </c>
      <c r="B34" s="119" t="s">
        <v>597</v>
      </c>
      <c r="C34" s="108">
        <f>+'[2]C.PO.15 mm'!$S$42</f>
        <v>5900</v>
      </c>
      <c r="D34" s="252"/>
      <c r="E34" s="109">
        <f t="shared" si="1"/>
        <v>0</v>
      </c>
      <c r="F34" s="135"/>
    </row>
    <row r="35" spans="1:6" x14ac:dyDescent="0.3">
      <c r="A35" s="123" t="s">
        <v>591</v>
      </c>
      <c r="B35" s="119" t="s">
        <v>597</v>
      </c>
      <c r="C35" s="108">
        <f>+'[2]C.PO.15 mm'!$S$43</f>
        <v>5950</v>
      </c>
      <c r="D35" s="252"/>
      <c r="E35" s="109">
        <f t="shared" si="1"/>
        <v>0</v>
      </c>
      <c r="F35" s="135"/>
    </row>
    <row r="36" spans="1:6" x14ac:dyDescent="0.3">
      <c r="A36" s="123" t="s">
        <v>606</v>
      </c>
      <c r="B36" s="119" t="s">
        <v>597</v>
      </c>
      <c r="C36" s="108">
        <f>+'[2]C.PO.15 mm'!$S$44</f>
        <v>6000</v>
      </c>
      <c r="D36" s="252"/>
      <c r="E36" s="109">
        <f t="shared" ref="E36" si="2">+D36*C36</f>
        <v>0</v>
      </c>
      <c r="F36" s="135"/>
    </row>
    <row r="37" spans="1:6" x14ac:dyDescent="0.3">
      <c r="A37" s="123" t="s">
        <v>592</v>
      </c>
      <c r="B37" s="119" t="s">
        <v>598</v>
      </c>
      <c r="C37" s="108">
        <f>+'[2]C.PO.15 mm'!$S$8</f>
        <v>5200</v>
      </c>
      <c r="D37" s="252"/>
      <c r="E37" s="109">
        <f t="shared" si="1"/>
        <v>0</v>
      </c>
      <c r="F37" s="135"/>
    </row>
    <row r="38" spans="1:6" ht="19.2" customHeight="1" x14ac:dyDescent="0.3">
      <c r="A38" s="124" t="s">
        <v>10</v>
      </c>
      <c r="B38" s="113" t="s">
        <v>129</v>
      </c>
      <c r="C38" s="126"/>
      <c r="D38" s="115"/>
      <c r="E38" s="116"/>
      <c r="F38" s="117" t="s">
        <v>235</v>
      </c>
    </row>
    <row r="39" spans="1:6" x14ac:dyDescent="0.3">
      <c r="A39" s="50" t="s">
        <v>501</v>
      </c>
      <c r="B39" s="118" t="s">
        <v>127</v>
      </c>
      <c r="C39" s="104">
        <f>+'[2]Collares15 mm'!$U$22</f>
        <v>5950</v>
      </c>
      <c r="D39" s="248"/>
      <c r="E39" s="127">
        <f>+D39*C39</f>
        <v>0</v>
      </c>
      <c r="F39" s="106"/>
    </row>
    <row r="40" spans="1:6" x14ac:dyDescent="0.3">
      <c r="A40" s="50" t="s">
        <v>511</v>
      </c>
      <c r="B40" s="119" t="s">
        <v>128</v>
      </c>
      <c r="C40" s="108">
        <f>+'[2]Collares15 mm'!$U$22+50</f>
        <v>6000</v>
      </c>
      <c r="D40" s="249"/>
      <c r="E40" s="109">
        <f>+D40*C40</f>
        <v>0</v>
      </c>
      <c r="F40" s="106"/>
    </row>
    <row r="41" spans="1:6" x14ac:dyDescent="0.3">
      <c r="A41" s="50" t="s">
        <v>510</v>
      </c>
      <c r="B41" s="121" t="s">
        <v>34</v>
      </c>
      <c r="C41" s="111">
        <f>+'[2]Collares15 mm'!$U$22+100</f>
        <v>6050</v>
      </c>
      <c r="D41" s="249"/>
      <c r="E41" s="112">
        <f>+D41*C41</f>
        <v>0</v>
      </c>
      <c r="F41" s="106"/>
    </row>
    <row r="42" spans="1:6" ht="20.399999999999999" x14ac:dyDescent="0.3">
      <c r="A42" s="124" t="s">
        <v>10</v>
      </c>
      <c r="B42" s="113" t="s">
        <v>32</v>
      </c>
      <c r="C42" s="114"/>
      <c r="D42" s="115"/>
      <c r="E42" s="116"/>
      <c r="F42" s="117" t="s">
        <v>236</v>
      </c>
    </row>
    <row r="43" spans="1:6" x14ac:dyDescent="0.3">
      <c r="A43" s="50" t="s">
        <v>508</v>
      </c>
      <c r="B43" s="118" t="s">
        <v>126</v>
      </c>
      <c r="C43" s="104">
        <f>+'[2]Collares15 mm'!$U$21</f>
        <v>7750</v>
      </c>
      <c r="D43" s="248"/>
      <c r="E43" s="105">
        <f>+D43*C43</f>
        <v>0</v>
      </c>
      <c r="F43" s="106"/>
    </row>
    <row r="44" spans="1:6" x14ac:dyDescent="0.3">
      <c r="A44" s="50" t="s">
        <v>509</v>
      </c>
      <c r="B44" s="119" t="s">
        <v>125</v>
      </c>
      <c r="C44" s="108">
        <f>+'[2]Collares15 mm'!$U$21+50</f>
        <v>7800</v>
      </c>
      <c r="D44" s="248"/>
      <c r="E44" s="109">
        <f>+D44*C44</f>
        <v>0</v>
      </c>
      <c r="F44" s="106"/>
    </row>
    <row r="45" spans="1:6" ht="15.75" customHeight="1" x14ac:dyDescent="0.3">
      <c r="A45" s="50" t="s">
        <v>502</v>
      </c>
      <c r="B45" s="119" t="s">
        <v>124</v>
      </c>
      <c r="C45" s="108">
        <f>+'[2]Collares15 mm'!$U$21+100</f>
        <v>7850</v>
      </c>
      <c r="D45" s="249"/>
      <c r="E45" s="109">
        <f>+D45*C45</f>
        <v>0</v>
      </c>
      <c r="F45" s="106"/>
    </row>
    <row r="46" spans="1:6" x14ac:dyDescent="0.3">
      <c r="A46" s="50" t="s">
        <v>503</v>
      </c>
      <c r="B46" s="121" t="s">
        <v>33</v>
      </c>
      <c r="C46" s="111">
        <f>+'[2]Collares15 mm'!$U$21+150</f>
        <v>7900</v>
      </c>
      <c r="D46" s="249"/>
      <c r="E46" s="112">
        <f>+D46*C46</f>
        <v>0</v>
      </c>
      <c r="F46" s="106"/>
    </row>
    <row r="47" spans="1:6" ht="20.399999999999999" x14ac:dyDescent="0.3">
      <c r="A47" s="124" t="s">
        <v>10</v>
      </c>
      <c r="B47" s="113" t="s">
        <v>26</v>
      </c>
      <c r="C47" s="114"/>
      <c r="D47" s="115"/>
      <c r="E47" s="125"/>
      <c r="F47" s="117" t="s">
        <v>236</v>
      </c>
    </row>
    <row r="48" spans="1:6" x14ac:dyDescent="0.3">
      <c r="A48" s="50" t="s">
        <v>504</v>
      </c>
      <c r="B48" s="118" t="s">
        <v>121</v>
      </c>
      <c r="C48" s="104">
        <f>+'[2]Collares15 mm'!$U$15</f>
        <v>6100</v>
      </c>
      <c r="D48" s="248"/>
      <c r="E48" s="105">
        <f>+D48*C48</f>
        <v>0</v>
      </c>
      <c r="F48" s="106"/>
    </row>
    <row r="49" spans="1:6" x14ac:dyDescent="0.3">
      <c r="A49" s="50" t="s">
        <v>505</v>
      </c>
      <c r="B49" s="119" t="s">
        <v>120</v>
      </c>
      <c r="C49" s="108">
        <f>+'[2]Collares15 mm'!$U$15+50</f>
        <v>6150</v>
      </c>
      <c r="D49" s="248"/>
      <c r="E49" s="109">
        <f>+D49*C49</f>
        <v>0</v>
      </c>
      <c r="F49" s="106"/>
    </row>
    <row r="50" spans="1:6" x14ac:dyDescent="0.3">
      <c r="A50" s="50" t="s">
        <v>506</v>
      </c>
      <c r="B50" s="119" t="s">
        <v>27</v>
      </c>
      <c r="C50" s="108">
        <f>+'[2]Collares15 mm'!$U$15+100</f>
        <v>6200</v>
      </c>
      <c r="D50" s="249"/>
      <c r="E50" s="109">
        <f>+D50*C50</f>
        <v>0</v>
      </c>
      <c r="F50" s="106"/>
    </row>
    <row r="51" spans="1:6" x14ac:dyDescent="0.3">
      <c r="A51" s="120" t="s">
        <v>507</v>
      </c>
      <c r="B51" s="121" t="s">
        <v>26</v>
      </c>
      <c r="C51" s="111">
        <f>+'[2]Collares15 mm'!$U$15+150</f>
        <v>6250</v>
      </c>
      <c r="D51" s="250"/>
      <c r="E51" s="112">
        <f>+D51*C51</f>
        <v>0</v>
      </c>
      <c r="F51" s="277"/>
    </row>
    <row r="52" spans="1:6" ht="20.399999999999999" customHeight="1" x14ac:dyDescent="0.3">
      <c r="A52" s="280" t="s">
        <v>10</v>
      </c>
      <c r="B52" s="152" t="s">
        <v>578</v>
      </c>
      <c r="C52" s="114"/>
      <c r="D52" s="115"/>
      <c r="E52" s="282"/>
      <c r="F52" s="281" t="s">
        <v>153</v>
      </c>
    </row>
    <row r="53" spans="1:6" x14ac:dyDescent="0.3">
      <c r="A53" s="278" t="s">
        <v>580</v>
      </c>
      <c r="B53" s="118" t="s">
        <v>579</v>
      </c>
      <c r="C53" s="104">
        <f>+'[2]C.PO.15 mm'!$S$47</f>
        <v>4600</v>
      </c>
      <c r="D53" s="254"/>
      <c r="E53" s="105">
        <f t="shared" ref="E53:E57" si="3">+D53*C53</f>
        <v>0</v>
      </c>
      <c r="F53" s="279"/>
    </row>
    <row r="54" spans="1:6" x14ac:dyDescent="0.3">
      <c r="A54" s="123" t="s">
        <v>581</v>
      </c>
      <c r="B54" s="118" t="s">
        <v>579</v>
      </c>
      <c r="C54" s="108">
        <f>+'[2]C.PO.15 mm'!$S$48</f>
        <v>4650</v>
      </c>
      <c r="D54" s="252"/>
      <c r="E54" s="109">
        <f t="shared" si="3"/>
        <v>0</v>
      </c>
      <c r="F54" s="135"/>
    </row>
    <row r="55" spans="1:6" x14ac:dyDescent="0.3">
      <c r="A55" s="278" t="s">
        <v>582</v>
      </c>
      <c r="B55" s="118" t="s">
        <v>579</v>
      </c>
      <c r="C55" s="108">
        <f>+'[2]C.PO.15 mm'!$S$49</f>
        <v>4700</v>
      </c>
      <c r="D55" s="252"/>
      <c r="E55" s="109">
        <f t="shared" si="3"/>
        <v>0</v>
      </c>
      <c r="F55" s="135"/>
    </row>
    <row r="56" spans="1:6" x14ac:dyDescent="0.3">
      <c r="A56" s="123" t="s">
        <v>583</v>
      </c>
      <c r="B56" s="118" t="s">
        <v>579</v>
      </c>
      <c r="C56" s="108">
        <f>+'[2]C.PO.15 mm'!$S$50</f>
        <v>4750</v>
      </c>
      <c r="D56" s="252"/>
      <c r="E56" s="109">
        <f t="shared" si="3"/>
        <v>0</v>
      </c>
      <c r="F56" s="135"/>
    </row>
    <row r="57" spans="1:6" x14ac:dyDescent="0.3">
      <c r="A57" s="123" t="s">
        <v>584</v>
      </c>
      <c r="B57" s="119" t="s">
        <v>154</v>
      </c>
      <c r="C57" s="108">
        <f>+'[2]C.PO.15 mm'!$S$7</f>
        <v>4300</v>
      </c>
      <c r="D57" s="252"/>
      <c r="E57" s="109">
        <f t="shared" si="3"/>
        <v>0</v>
      </c>
      <c r="F57" s="135"/>
    </row>
    <row r="58" spans="1:6" ht="21.6" x14ac:dyDescent="0.3">
      <c r="A58" s="129" t="s">
        <v>10</v>
      </c>
      <c r="B58" s="130" t="s">
        <v>37</v>
      </c>
      <c r="C58" s="131"/>
      <c r="D58" s="132"/>
      <c r="E58" s="133"/>
      <c r="F58" s="134" t="s">
        <v>288</v>
      </c>
    </row>
    <row r="59" spans="1:6" x14ac:dyDescent="0.3">
      <c r="A59" s="50" t="s">
        <v>327</v>
      </c>
      <c r="B59" s="119" t="s">
        <v>133</v>
      </c>
      <c r="C59" s="108">
        <f>+'[2]Collar ajustable'!$U$24</f>
        <v>5400</v>
      </c>
      <c r="D59" s="249"/>
      <c r="E59" s="109">
        <f>+D59*C59</f>
        <v>0</v>
      </c>
      <c r="F59" s="135"/>
    </row>
    <row r="60" spans="1:6" ht="15" thickBot="1" x14ac:dyDescent="0.35">
      <c r="A60" s="136" t="s">
        <v>331</v>
      </c>
      <c r="B60" s="137" t="s">
        <v>550</v>
      </c>
      <c r="C60" s="138">
        <f>+'[2]Collar ajustable'!$U$22</f>
        <v>4950</v>
      </c>
      <c r="D60" s="249"/>
      <c r="E60" s="139">
        <f>+D60*C60</f>
        <v>0</v>
      </c>
      <c r="F60" s="140"/>
    </row>
    <row r="61" spans="1:6" ht="16.2" thickBot="1" x14ac:dyDescent="0.35">
      <c r="A61" s="75" t="s">
        <v>111</v>
      </c>
      <c r="B61" s="141"/>
      <c r="C61" s="77" t="s">
        <v>182</v>
      </c>
      <c r="D61" s="78">
        <f>SUM(D4:D60)</f>
        <v>0</v>
      </c>
      <c r="E61" s="79">
        <f>SUM(E4:E60)</f>
        <v>0</v>
      </c>
      <c r="F61" s="142"/>
    </row>
    <row r="62" spans="1:6" ht="15" thickBot="1" x14ac:dyDescent="0.35">
      <c r="A62" s="142"/>
      <c r="B62" s="142"/>
      <c r="C62" s="142"/>
      <c r="D62" s="142"/>
      <c r="E62" s="142"/>
      <c r="F62" s="142"/>
    </row>
    <row r="63" spans="1:6" ht="18" thickBot="1" x14ac:dyDescent="0.35">
      <c r="A63" s="401" t="s">
        <v>608</v>
      </c>
      <c r="B63" s="403"/>
      <c r="C63" s="403"/>
      <c r="D63" s="403"/>
      <c r="E63" s="403"/>
      <c r="F63" s="229"/>
    </row>
    <row r="64" spans="1:6" ht="18" thickBot="1" x14ac:dyDescent="0.35">
      <c r="A64" s="36"/>
      <c r="B64" s="37"/>
      <c r="C64" s="38" t="s">
        <v>2</v>
      </c>
      <c r="D64" s="39" t="s">
        <v>4</v>
      </c>
      <c r="E64" s="40" t="s">
        <v>3</v>
      </c>
      <c r="F64" s="41" t="s">
        <v>8</v>
      </c>
    </row>
    <row r="65" spans="1:6" ht="15.6" x14ac:dyDescent="0.3">
      <c r="A65" s="45" t="s">
        <v>10</v>
      </c>
      <c r="B65" s="152" t="s">
        <v>185</v>
      </c>
      <c r="C65" s="151"/>
      <c r="D65" s="115"/>
      <c r="E65" s="116"/>
      <c r="F65" s="90" t="s">
        <v>171</v>
      </c>
    </row>
    <row r="66" spans="1:6" x14ac:dyDescent="0.3">
      <c r="A66" s="319" t="s">
        <v>618</v>
      </c>
      <c r="B66" s="107" t="s">
        <v>634</v>
      </c>
      <c r="C66" s="108">
        <f>+'[3]Pretal 15 mm'!$S$68+'[3]C.PO.15 mm'!$S$7</f>
        <v>18400</v>
      </c>
      <c r="D66" s="249"/>
      <c r="E66" s="148">
        <f>+D66*C66</f>
        <v>0</v>
      </c>
      <c r="F66" s="5"/>
    </row>
    <row r="67" spans="1:6" ht="15" thickBot="1" x14ac:dyDescent="0.35">
      <c r="A67" s="319" t="s">
        <v>619</v>
      </c>
      <c r="B67" s="110" t="s">
        <v>181</v>
      </c>
      <c r="C67" s="111">
        <f>+'[2]C.PO.15 mm'!$S$7</f>
        <v>4300</v>
      </c>
      <c r="D67" s="250"/>
      <c r="E67" s="326" t="s">
        <v>180</v>
      </c>
      <c r="F67" s="6"/>
    </row>
    <row r="68" spans="1:6" ht="15.6" x14ac:dyDescent="0.3">
      <c r="A68" s="300" t="s">
        <v>10</v>
      </c>
      <c r="B68" s="321" t="s">
        <v>183</v>
      </c>
      <c r="C68" s="322"/>
      <c r="D68" s="323"/>
      <c r="E68" s="324"/>
      <c r="F68" s="85" t="s">
        <v>177</v>
      </c>
    </row>
    <row r="69" spans="1:6" x14ac:dyDescent="0.3">
      <c r="A69" s="325" t="s">
        <v>512</v>
      </c>
      <c r="B69" s="107" t="s">
        <v>190</v>
      </c>
      <c r="C69" s="108"/>
      <c r="D69" s="249"/>
      <c r="E69" s="148">
        <f>+D69*C69</f>
        <v>0</v>
      </c>
      <c r="F69" s="5"/>
    </row>
    <row r="70" spans="1:6" x14ac:dyDescent="0.3">
      <c r="A70" s="123" t="s">
        <v>329</v>
      </c>
      <c r="B70" s="110" t="s">
        <v>176</v>
      </c>
      <c r="C70" s="111"/>
      <c r="D70" s="249"/>
      <c r="E70" s="150">
        <f>+D70*C70</f>
        <v>0</v>
      </c>
      <c r="F70" s="5"/>
    </row>
    <row r="71" spans="1:6" ht="15.6" x14ac:dyDescent="0.3">
      <c r="A71" s="45" t="s">
        <v>10</v>
      </c>
      <c r="B71" s="113" t="s">
        <v>184</v>
      </c>
      <c r="C71" s="151"/>
      <c r="D71" s="115"/>
      <c r="E71" s="116"/>
      <c r="F71" s="90" t="s">
        <v>178</v>
      </c>
    </row>
    <row r="72" spans="1:6" x14ac:dyDescent="0.3">
      <c r="A72" s="86" t="s">
        <v>512</v>
      </c>
      <c r="B72" s="107" t="s">
        <v>189</v>
      </c>
      <c r="C72" s="108"/>
      <c r="D72" s="249"/>
      <c r="E72" s="148">
        <f>+D72*C72</f>
        <v>0</v>
      </c>
      <c r="F72" s="5"/>
    </row>
    <row r="73" spans="1:6" ht="15" thickBot="1" x14ac:dyDescent="0.35">
      <c r="A73" s="299" t="s">
        <v>330</v>
      </c>
      <c r="B73" s="110" t="s">
        <v>179</v>
      </c>
      <c r="C73" s="111"/>
      <c r="D73" s="250"/>
      <c r="E73" s="150">
        <f>+D73*C73</f>
        <v>0</v>
      </c>
      <c r="F73" s="5"/>
    </row>
    <row r="74" spans="1:6" ht="16.2" thickBot="1" x14ac:dyDescent="0.35">
      <c r="A74" s="181" t="s">
        <v>111</v>
      </c>
      <c r="B74" s="328"/>
      <c r="C74" s="33" t="s">
        <v>182</v>
      </c>
      <c r="D74" s="33">
        <f>SUM(D69:D73)</f>
        <v>0</v>
      </c>
      <c r="E74" s="182">
        <f>SUM(E69:E73)</f>
        <v>0</v>
      </c>
      <c r="F74" s="142"/>
    </row>
  </sheetData>
  <mergeCells count="2">
    <mergeCell ref="A1:E1"/>
    <mergeCell ref="A63:E63"/>
  </mergeCells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F77"/>
  <sheetViews>
    <sheetView topLeftCell="A55" zoomScale="86" zoomScaleNormal="85" workbookViewId="0">
      <selection activeCell="B70" sqref="B70"/>
    </sheetView>
  </sheetViews>
  <sheetFormatPr baseColWidth="10" defaultRowHeight="14.4" x14ac:dyDescent="0.3"/>
  <cols>
    <col min="2" max="2" width="56.6640625" customWidth="1"/>
    <col min="5" max="5" width="17.6640625" customWidth="1"/>
    <col min="6" max="6" width="76.88671875" customWidth="1"/>
  </cols>
  <sheetData>
    <row r="1" spans="1:6" ht="29.4" customHeight="1" thickBot="1" x14ac:dyDescent="0.35">
      <c r="A1" s="401" t="s">
        <v>38</v>
      </c>
      <c r="B1" s="400"/>
      <c r="C1" s="400"/>
      <c r="D1" s="400"/>
      <c r="E1" s="400"/>
      <c r="F1" s="226"/>
    </row>
    <row r="2" spans="1:6" ht="37.200000000000003" customHeight="1" thickBot="1" x14ac:dyDescent="0.35">
      <c r="A2" s="94"/>
      <c r="B2" s="291" t="s">
        <v>5</v>
      </c>
      <c r="C2" s="292" t="s">
        <v>2</v>
      </c>
      <c r="D2" s="293" t="s">
        <v>4</v>
      </c>
      <c r="E2" s="294" t="s">
        <v>3</v>
      </c>
      <c r="F2" s="235" t="s">
        <v>8</v>
      </c>
    </row>
    <row r="3" spans="1:6" ht="20.399999999999999" x14ac:dyDescent="0.3">
      <c r="A3" s="290" t="s">
        <v>10</v>
      </c>
      <c r="B3" s="46" t="s">
        <v>55</v>
      </c>
      <c r="C3" s="288"/>
      <c r="D3" s="72"/>
      <c r="E3" s="295"/>
      <c r="F3" s="157" t="s">
        <v>352</v>
      </c>
    </row>
    <row r="4" spans="1:6" x14ac:dyDescent="0.3">
      <c r="A4" s="50" t="s">
        <v>353</v>
      </c>
      <c r="B4" s="87" t="s">
        <v>56</v>
      </c>
      <c r="C4" s="52">
        <f>+'[2]C.PO. 20 mm'!$R$24</f>
        <v>4500</v>
      </c>
      <c r="D4" s="287"/>
      <c r="E4" s="53">
        <f>+D4*C4</f>
        <v>0</v>
      </c>
      <c r="F4" s="54"/>
    </row>
    <row r="5" spans="1:6" x14ac:dyDescent="0.3">
      <c r="A5" s="50" t="s">
        <v>354</v>
      </c>
      <c r="B5" s="88" t="s">
        <v>56</v>
      </c>
      <c r="C5" s="43">
        <f>+'[2]C.PO. 20 mm'!$R$25</f>
        <v>4550</v>
      </c>
      <c r="D5" s="251"/>
      <c r="E5" s="44">
        <f>+D5*C5</f>
        <v>0</v>
      </c>
      <c r="F5" s="54"/>
    </row>
    <row r="6" spans="1:6" x14ac:dyDescent="0.3">
      <c r="A6" s="50" t="s">
        <v>355</v>
      </c>
      <c r="B6" s="88" t="s">
        <v>56</v>
      </c>
      <c r="C6" s="43">
        <f>+'[2]C.PO. 20 mm'!$R$26</f>
        <v>4600</v>
      </c>
      <c r="D6" s="251"/>
      <c r="E6" s="44">
        <f>+D6*C6</f>
        <v>0</v>
      </c>
      <c r="F6" s="54"/>
    </row>
    <row r="7" spans="1:6" x14ac:dyDescent="0.3">
      <c r="A7" s="50" t="s">
        <v>356</v>
      </c>
      <c r="B7" s="88" t="s">
        <v>56</v>
      </c>
      <c r="C7" s="43">
        <f>+'[2]C.PO. 20 mm'!$R$27</f>
        <v>4650</v>
      </c>
      <c r="D7" s="251"/>
      <c r="E7" s="44">
        <f>+D7*C7</f>
        <v>0</v>
      </c>
      <c r="F7" s="54"/>
    </row>
    <row r="8" spans="1:6" x14ac:dyDescent="0.3">
      <c r="A8" s="50" t="s">
        <v>357</v>
      </c>
      <c r="B8" s="89" t="s">
        <v>145</v>
      </c>
      <c r="C8" s="56">
        <f>+'[4]C.PO. 20 mm'!$R$3</f>
        <v>4350</v>
      </c>
      <c r="D8" s="286"/>
      <c r="E8" s="57">
        <f>+D8*C8</f>
        <v>0</v>
      </c>
      <c r="F8" s="54"/>
    </row>
    <row r="9" spans="1:6" ht="15.6" x14ac:dyDescent="0.3">
      <c r="A9" s="45" t="s">
        <v>10</v>
      </c>
      <c r="B9" s="46" t="s">
        <v>49</v>
      </c>
      <c r="C9" s="58"/>
      <c r="D9" s="72"/>
      <c r="E9" s="60"/>
      <c r="F9" s="85" t="s">
        <v>140</v>
      </c>
    </row>
    <row r="10" spans="1:6" x14ac:dyDescent="0.3">
      <c r="A10" s="50" t="s">
        <v>358</v>
      </c>
      <c r="B10" s="51" t="s">
        <v>139</v>
      </c>
      <c r="C10" s="52">
        <f>+'[2]C.PO. 20 mm'!$R$51</f>
        <v>5550</v>
      </c>
      <c r="D10" s="287"/>
      <c r="E10" s="53">
        <f>+D10*C10</f>
        <v>0</v>
      </c>
      <c r="F10" s="54"/>
    </row>
    <row r="11" spans="1:6" x14ac:dyDescent="0.3">
      <c r="A11" s="50" t="s">
        <v>359</v>
      </c>
      <c r="B11" s="42" t="s">
        <v>50</v>
      </c>
      <c r="C11" s="43">
        <f>+'[2]C.PO. 20 mm'!$R$52</f>
        <v>5600</v>
      </c>
      <c r="D11" s="251"/>
      <c r="E11" s="44">
        <f>+D11*C11</f>
        <v>0</v>
      </c>
      <c r="F11" s="54"/>
    </row>
    <row r="12" spans="1:6" x14ac:dyDescent="0.3">
      <c r="A12" s="50" t="s">
        <v>360</v>
      </c>
      <c r="B12" s="42" t="s">
        <v>50</v>
      </c>
      <c r="C12" s="43">
        <f>+'[2]C.PO. 20 mm'!$R$53</f>
        <v>5650</v>
      </c>
      <c r="D12" s="251"/>
      <c r="E12" s="44">
        <f>+D12*C12</f>
        <v>0</v>
      </c>
      <c r="F12" s="54"/>
    </row>
    <row r="13" spans="1:6" x14ac:dyDescent="0.3">
      <c r="A13" s="50" t="s">
        <v>361</v>
      </c>
      <c r="B13" s="55" t="s">
        <v>50</v>
      </c>
      <c r="C13" s="56">
        <f>+'[2]C.PO. 20 mm'!$R$54</f>
        <v>5700</v>
      </c>
      <c r="D13" s="286"/>
      <c r="E13" s="57">
        <f>+D13*C13</f>
        <v>0</v>
      </c>
      <c r="F13" s="54"/>
    </row>
    <row r="14" spans="1:6" ht="15.6" x14ac:dyDescent="0.3">
      <c r="A14" s="45" t="s">
        <v>10</v>
      </c>
      <c r="B14" s="46" t="s">
        <v>45</v>
      </c>
      <c r="C14" s="58"/>
      <c r="D14" s="72"/>
      <c r="E14" s="60"/>
      <c r="F14" s="85" t="s">
        <v>138</v>
      </c>
    </row>
    <row r="15" spans="1:6" x14ac:dyDescent="0.3">
      <c r="A15" s="50" t="s">
        <v>362</v>
      </c>
      <c r="B15" s="51" t="s">
        <v>47</v>
      </c>
      <c r="C15" s="66">
        <f>+'[2]C.S.C.20 mm'!$U$10</f>
        <v>7100</v>
      </c>
      <c r="D15" s="287"/>
      <c r="E15" s="53">
        <f>+D15*C15</f>
        <v>0</v>
      </c>
      <c r="F15" s="54"/>
    </row>
    <row r="16" spans="1:6" x14ac:dyDescent="0.3">
      <c r="A16" s="50" t="s">
        <v>363</v>
      </c>
      <c r="B16" s="42" t="s">
        <v>46</v>
      </c>
      <c r="C16" s="68">
        <f>+'[2]C.S.C.20 mm'!$U$10+50</f>
        <v>7150</v>
      </c>
      <c r="D16" s="251"/>
      <c r="E16" s="44">
        <f>+D16*C16</f>
        <v>0</v>
      </c>
      <c r="F16" s="54"/>
    </row>
    <row r="17" spans="1:6" x14ac:dyDescent="0.3">
      <c r="A17" s="50" t="s">
        <v>364</v>
      </c>
      <c r="B17" s="42" t="s">
        <v>47</v>
      </c>
      <c r="C17" s="68">
        <f>+'[2]C.S.C.20 mm'!$U$10+100</f>
        <v>7200</v>
      </c>
      <c r="D17" s="251"/>
      <c r="E17" s="44">
        <f>+D17*C17</f>
        <v>0</v>
      </c>
      <c r="F17" s="54"/>
    </row>
    <row r="18" spans="1:6" x14ac:dyDescent="0.3">
      <c r="A18" s="120" t="s">
        <v>365</v>
      </c>
      <c r="B18" s="55" t="s">
        <v>48</v>
      </c>
      <c r="C18" s="70">
        <f>+'[2]C.S.C.20 mm'!$U$10</f>
        <v>7100</v>
      </c>
      <c r="D18" s="286"/>
      <c r="E18" s="57">
        <f>+D18*C18</f>
        <v>0</v>
      </c>
      <c r="F18" s="237"/>
    </row>
    <row r="19" spans="1:6" ht="20.399999999999999" x14ac:dyDescent="0.3">
      <c r="A19" s="45" t="s">
        <v>10</v>
      </c>
      <c r="B19" s="46" t="s">
        <v>39</v>
      </c>
      <c r="C19" s="288"/>
      <c r="D19" s="72"/>
      <c r="E19" s="60"/>
      <c r="F19" s="90" t="s">
        <v>352</v>
      </c>
    </row>
    <row r="20" spans="1:6" x14ac:dyDescent="0.3">
      <c r="A20" s="50" t="s">
        <v>366</v>
      </c>
      <c r="B20" s="51" t="s">
        <v>135</v>
      </c>
      <c r="C20" s="52">
        <f>+'[2]C.S.C.20 mm'!$U$10</f>
        <v>7100</v>
      </c>
      <c r="D20" s="287"/>
      <c r="E20" s="53">
        <f>+D20*C20</f>
        <v>0</v>
      </c>
      <c r="F20" s="54"/>
    </row>
    <row r="21" spans="1:6" x14ac:dyDescent="0.3">
      <c r="A21" s="50" t="s">
        <v>367</v>
      </c>
      <c r="B21" s="42" t="s">
        <v>134</v>
      </c>
      <c r="C21" s="43">
        <f>+'[2]C.S.C.20 mm'!$U$10+50</f>
        <v>7150</v>
      </c>
      <c r="D21" s="251"/>
      <c r="E21" s="44">
        <f>+D21*C21</f>
        <v>0</v>
      </c>
      <c r="F21" s="54"/>
    </row>
    <row r="22" spans="1:6" x14ac:dyDescent="0.3">
      <c r="A22" s="50" t="s">
        <v>368</v>
      </c>
      <c r="B22" s="42" t="s">
        <v>136</v>
      </c>
      <c r="C22" s="43">
        <f>+'[2]C.S.C.20 mm'!$U$10+100</f>
        <v>7200</v>
      </c>
      <c r="D22" s="251"/>
      <c r="E22" s="44">
        <f>+D22*C22</f>
        <v>0</v>
      </c>
      <c r="F22" s="54"/>
    </row>
    <row r="23" spans="1:6" x14ac:dyDescent="0.3">
      <c r="A23" s="50" t="s">
        <v>369</v>
      </c>
      <c r="B23" s="55" t="s">
        <v>40</v>
      </c>
      <c r="C23" s="56">
        <f>+'[2]C.S.C.20 mm'!$U$10+150</f>
        <v>7250</v>
      </c>
      <c r="D23" s="286"/>
      <c r="E23" s="57">
        <f>+D23*C23</f>
        <v>0</v>
      </c>
      <c r="F23" s="54"/>
    </row>
    <row r="24" spans="1:6" ht="15.6" x14ac:dyDescent="0.3">
      <c r="A24" s="45" t="s">
        <v>10</v>
      </c>
      <c r="B24" s="46" t="s">
        <v>59</v>
      </c>
      <c r="C24" s="58"/>
      <c r="D24" s="72"/>
      <c r="E24" s="60"/>
      <c r="F24" s="85" t="s">
        <v>149</v>
      </c>
    </row>
    <row r="25" spans="1:6" x14ac:dyDescent="0.3">
      <c r="A25" s="50" t="s">
        <v>370</v>
      </c>
      <c r="B25" s="51" t="s">
        <v>147</v>
      </c>
      <c r="C25" s="52">
        <f>+'[2]C.PO. 20 mm'!$R$60</f>
        <v>5300</v>
      </c>
      <c r="D25" s="287"/>
      <c r="E25" s="53">
        <f t="shared" ref="E25:E30" si="0">+D25*C25</f>
        <v>0</v>
      </c>
      <c r="F25" s="54"/>
    </row>
    <row r="26" spans="1:6" x14ac:dyDescent="0.3">
      <c r="A26" s="50" t="s">
        <v>371</v>
      </c>
      <c r="B26" s="42" t="s">
        <v>60</v>
      </c>
      <c r="C26" s="43">
        <f>+'[2]C.PO. 20 mm'!$R$61</f>
        <v>5350</v>
      </c>
      <c r="D26" s="251"/>
      <c r="E26" s="44">
        <f t="shared" si="0"/>
        <v>0</v>
      </c>
      <c r="F26" s="54"/>
    </row>
    <row r="27" spans="1:6" x14ac:dyDescent="0.3">
      <c r="A27" s="50" t="s">
        <v>372</v>
      </c>
      <c r="B27" s="42" t="s">
        <v>60</v>
      </c>
      <c r="C27" s="43">
        <f>+'[2]C.PO. 20 mm'!$R$62</f>
        <v>5400</v>
      </c>
      <c r="D27" s="251"/>
      <c r="E27" s="44">
        <f t="shared" si="0"/>
        <v>0</v>
      </c>
      <c r="F27" s="54"/>
    </row>
    <row r="28" spans="1:6" x14ac:dyDescent="0.3">
      <c r="A28" s="50" t="s">
        <v>373</v>
      </c>
      <c r="B28" s="42" t="s">
        <v>60</v>
      </c>
      <c r="C28" s="43">
        <f>+'[2]C.PO. 20 mm'!$R$63</f>
        <v>5450</v>
      </c>
      <c r="D28" s="251"/>
      <c r="E28" s="44">
        <f t="shared" si="0"/>
        <v>0</v>
      </c>
      <c r="F28" s="54"/>
    </row>
    <row r="29" spans="1:6" x14ac:dyDescent="0.3">
      <c r="A29" s="50" t="s">
        <v>374</v>
      </c>
      <c r="B29" s="42" t="s">
        <v>60</v>
      </c>
      <c r="C29" s="43">
        <f>+'[2]C.PO. 20 mm'!$R$64</f>
        <v>5500</v>
      </c>
      <c r="D29" s="251"/>
      <c r="E29" s="44">
        <f t="shared" si="0"/>
        <v>0</v>
      </c>
      <c r="F29" s="54"/>
    </row>
    <row r="30" spans="1:6" x14ac:dyDescent="0.3">
      <c r="A30" s="50" t="s">
        <v>375</v>
      </c>
      <c r="B30" s="55" t="s">
        <v>148</v>
      </c>
      <c r="C30" s="56">
        <f>+'[4]C.PO. 20 mm'!$R$4</f>
        <v>6200</v>
      </c>
      <c r="D30" s="286"/>
      <c r="E30" s="57">
        <f t="shared" si="0"/>
        <v>0</v>
      </c>
      <c r="F30" s="54"/>
    </row>
    <row r="31" spans="1:6" ht="15.6" x14ac:dyDescent="0.3">
      <c r="A31" s="45" t="s">
        <v>10</v>
      </c>
      <c r="B31" s="289" t="s">
        <v>41</v>
      </c>
      <c r="C31" s="58"/>
      <c r="D31" s="72"/>
      <c r="E31" s="60"/>
      <c r="F31" s="85" t="s">
        <v>137</v>
      </c>
    </row>
    <row r="32" spans="1:6" x14ac:dyDescent="0.3">
      <c r="A32" s="50" t="s">
        <v>513</v>
      </c>
      <c r="B32" s="51" t="s">
        <v>43</v>
      </c>
      <c r="C32" s="66">
        <f>+'[2]C.PO. 20 mm'!$R$45</f>
        <v>5350</v>
      </c>
      <c r="D32" s="287"/>
      <c r="E32" s="53">
        <f>+D32*C32</f>
        <v>0</v>
      </c>
      <c r="F32" s="54"/>
    </row>
    <row r="33" spans="1:6" x14ac:dyDescent="0.3">
      <c r="A33" s="50" t="s">
        <v>514</v>
      </c>
      <c r="B33" s="42" t="s">
        <v>42</v>
      </c>
      <c r="C33" s="68">
        <f>+'[2]C.PO. 20 mm'!$R$46</f>
        <v>5400</v>
      </c>
      <c r="D33" s="251"/>
      <c r="E33" s="44">
        <f>+D33*C33</f>
        <v>0</v>
      </c>
      <c r="F33" s="54"/>
    </row>
    <row r="34" spans="1:6" x14ac:dyDescent="0.3">
      <c r="A34" s="50" t="s">
        <v>515</v>
      </c>
      <c r="B34" s="42" t="s">
        <v>43</v>
      </c>
      <c r="C34" s="68">
        <f>+'[2]C.PO. 20 mm'!$R$47</f>
        <v>5450</v>
      </c>
      <c r="D34" s="251"/>
      <c r="E34" s="44">
        <f>+D34*C34</f>
        <v>0</v>
      </c>
      <c r="F34" s="54"/>
    </row>
    <row r="35" spans="1:6" x14ac:dyDescent="0.3">
      <c r="A35" s="50" t="s">
        <v>516</v>
      </c>
      <c r="B35" s="42" t="s">
        <v>44</v>
      </c>
      <c r="C35" s="68">
        <f>+'[2]C.PO. 20 mm'!$R$48</f>
        <v>5500</v>
      </c>
      <c r="D35" s="251"/>
      <c r="E35" s="44">
        <f>+D35*C35</f>
        <v>0</v>
      </c>
      <c r="F35" s="54"/>
    </row>
    <row r="36" spans="1:6" x14ac:dyDescent="0.3">
      <c r="A36" s="50" t="s">
        <v>517</v>
      </c>
      <c r="B36" s="42" t="s">
        <v>44</v>
      </c>
      <c r="C36" s="68">
        <f>+'[2]C.PO. 20 mm'!$R$48+50</f>
        <v>5550</v>
      </c>
      <c r="D36" s="251"/>
      <c r="E36" s="44">
        <f>+D36*C36</f>
        <v>0</v>
      </c>
      <c r="F36" s="54"/>
    </row>
    <row r="37" spans="1:6" ht="20.399999999999999" x14ac:dyDescent="0.3">
      <c r="A37" s="124" t="s">
        <v>10</v>
      </c>
      <c r="B37" s="113" t="s">
        <v>585</v>
      </c>
      <c r="C37" s="114"/>
      <c r="D37" s="115"/>
      <c r="E37" s="116"/>
      <c r="F37" s="117" t="s">
        <v>236</v>
      </c>
    </row>
    <row r="38" spans="1:6" x14ac:dyDescent="0.3">
      <c r="A38" s="50" t="s">
        <v>518</v>
      </c>
      <c r="B38" s="42" t="s">
        <v>586</v>
      </c>
      <c r="C38" s="68">
        <f>+'[2]C.S.C.20 mm'!$U$4</f>
        <v>11300</v>
      </c>
      <c r="D38" s="251"/>
      <c r="E38" s="44">
        <f>+D38*C38</f>
        <v>0</v>
      </c>
      <c r="F38" s="54"/>
    </row>
    <row r="39" spans="1:6" x14ac:dyDescent="0.3">
      <c r="A39" s="50" t="s">
        <v>519</v>
      </c>
      <c r="B39" s="42" t="s">
        <v>586</v>
      </c>
      <c r="C39" s="68">
        <f>+'[2]C.S.C.20 mm'!$U$4+50</f>
        <v>11350</v>
      </c>
      <c r="D39" s="251"/>
      <c r="E39" s="44">
        <f>+D39*C39</f>
        <v>0</v>
      </c>
      <c r="F39" s="54"/>
    </row>
    <row r="40" spans="1:6" x14ac:dyDescent="0.3">
      <c r="A40" s="50" t="s">
        <v>520</v>
      </c>
      <c r="B40" s="42" t="s">
        <v>586</v>
      </c>
      <c r="C40" s="68">
        <f>+'[2]C.S.C.20 mm'!$U$4+100</f>
        <v>11400</v>
      </c>
      <c r="D40" s="251"/>
      <c r="E40" s="44">
        <f>+D40*C40</f>
        <v>0</v>
      </c>
      <c r="F40" s="54"/>
    </row>
    <row r="41" spans="1:6" x14ac:dyDescent="0.3">
      <c r="A41" s="50" t="s">
        <v>521</v>
      </c>
      <c r="B41" s="42" t="s">
        <v>586</v>
      </c>
      <c r="C41" s="68">
        <f>+'[2]C.S.C.20 mm'!$U$4+150</f>
        <v>11450</v>
      </c>
      <c r="D41" s="251"/>
      <c r="E41" s="44">
        <f>+D41*C41</f>
        <v>0</v>
      </c>
      <c r="F41" s="54"/>
    </row>
    <row r="42" spans="1:6" x14ac:dyDescent="0.3">
      <c r="A42" s="50" t="s">
        <v>587</v>
      </c>
      <c r="B42" s="55" t="s">
        <v>586</v>
      </c>
      <c r="C42" s="70">
        <f>+'[2]C.S.C.20 mm'!$U$4+200</f>
        <v>11500</v>
      </c>
      <c r="D42" s="286"/>
      <c r="E42" s="57">
        <f>+D42*C42</f>
        <v>0</v>
      </c>
      <c r="F42" s="283"/>
    </row>
    <row r="43" spans="1:6" ht="20.399999999999999" x14ac:dyDescent="0.3">
      <c r="A43" s="45" t="s">
        <v>10</v>
      </c>
      <c r="B43" s="46" t="s">
        <v>604</v>
      </c>
      <c r="C43" s="58"/>
      <c r="D43" s="72"/>
      <c r="E43" s="60"/>
      <c r="F43" s="85" t="s">
        <v>141</v>
      </c>
    </row>
    <row r="44" spans="1:6" x14ac:dyDescent="0.3">
      <c r="A44" s="50" t="s">
        <v>522</v>
      </c>
      <c r="B44" s="51" t="s">
        <v>142</v>
      </c>
      <c r="C44" s="66">
        <f>+'[2]C.S.C.20 mm'!$U$20</f>
        <v>8300</v>
      </c>
      <c r="D44" s="287"/>
      <c r="E44" s="53">
        <f>+D44*C44</f>
        <v>0</v>
      </c>
      <c r="F44" s="315"/>
    </row>
    <row r="45" spans="1:6" x14ac:dyDescent="0.3">
      <c r="A45" s="50" t="s">
        <v>523</v>
      </c>
      <c r="B45" s="42" t="s">
        <v>143</v>
      </c>
      <c r="C45" s="68">
        <f>+'[2]C.S.C.20 mm'!$U$20+50</f>
        <v>8350</v>
      </c>
      <c r="D45" s="251"/>
      <c r="E45" s="44">
        <f>+D45*C45</f>
        <v>0</v>
      </c>
      <c r="F45" s="54"/>
    </row>
    <row r="46" spans="1:6" x14ac:dyDescent="0.3">
      <c r="A46" s="50" t="s">
        <v>524</v>
      </c>
      <c r="B46" s="42" t="s">
        <v>143</v>
      </c>
      <c r="C46" s="68">
        <f>+'[2]C.S.C.20 mm'!$U$20+100</f>
        <v>8400</v>
      </c>
      <c r="D46" s="251"/>
      <c r="E46" s="44">
        <f>+D46*C46</f>
        <v>0</v>
      </c>
      <c r="F46" s="54"/>
    </row>
    <row r="47" spans="1:6" x14ac:dyDescent="0.3">
      <c r="A47" s="50" t="s">
        <v>525</v>
      </c>
      <c r="B47" s="55" t="s">
        <v>51</v>
      </c>
      <c r="C47" s="70">
        <f>+'[2]C.S.C.20 mm'!$U$20+150</f>
        <v>8450</v>
      </c>
      <c r="D47" s="286"/>
      <c r="E47" s="57">
        <f>+D47*C47</f>
        <v>0</v>
      </c>
      <c r="F47" s="54"/>
    </row>
    <row r="48" spans="1:6" ht="15.6" x14ac:dyDescent="0.3">
      <c r="A48" s="45" t="s">
        <v>10</v>
      </c>
      <c r="B48" s="46" t="s">
        <v>605</v>
      </c>
      <c r="C48" s="58"/>
      <c r="D48" s="72"/>
      <c r="E48" s="60"/>
      <c r="F48" s="85" t="s">
        <v>144</v>
      </c>
    </row>
    <row r="49" spans="1:6" x14ac:dyDescent="0.3">
      <c r="A49" s="50" t="s">
        <v>526</v>
      </c>
      <c r="B49" s="87" t="s">
        <v>53</v>
      </c>
      <c r="C49" s="66">
        <f>+'[2]C.S.C.20 mm'!$U$21</f>
        <v>5600</v>
      </c>
      <c r="D49" s="287"/>
      <c r="E49" s="53">
        <f>+D49*C49</f>
        <v>0</v>
      </c>
      <c r="F49" s="54"/>
    </row>
    <row r="50" spans="1:6" x14ac:dyDescent="0.3">
      <c r="A50" s="50" t="s">
        <v>527</v>
      </c>
      <c r="B50" s="88" t="s">
        <v>52</v>
      </c>
      <c r="C50" s="68">
        <f>+'[2]C.S.C.20 mm'!$U$21+50</f>
        <v>5650</v>
      </c>
      <c r="D50" s="251"/>
      <c r="E50" s="44">
        <f>+D50*C50</f>
        <v>0</v>
      </c>
      <c r="F50" s="54"/>
    </row>
    <row r="51" spans="1:6" x14ac:dyDescent="0.3">
      <c r="A51" s="50" t="s">
        <v>528</v>
      </c>
      <c r="B51" s="88" t="s">
        <v>53</v>
      </c>
      <c r="C51" s="68">
        <f>+'[2]C.S.C.20 mm'!$U$21+100</f>
        <v>5700</v>
      </c>
      <c r="D51" s="251"/>
      <c r="E51" s="44">
        <f>+D51*C51</f>
        <v>0</v>
      </c>
      <c r="F51" s="54"/>
    </row>
    <row r="52" spans="1:6" x14ac:dyDescent="0.3">
      <c r="A52" s="50" t="s">
        <v>529</v>
      </c>
      <c r="B52" s="88" t="s">
        <v>54</v>
      </c>
      <c r="C52" s="68">
        <f>+'[2]C.S.C.20 mm'!$U$21+150</f>
        <v>5750</v>
      </c>
      <c r="D52" s="251"/>
      <c r="E52" s="44">
        <f>+D52*C52</f>
        <v>0</v>
      </c>
      <c r="F52" s="54"/>
    </row>
    <row r="53" spans="1:6" x14ac:dyDescent="0.3">
      <c r="A53" s="50" t="s">
        <v>530</v>
      </c>
      <c r="B53" s="89" t="s">
        <v>54</v>
      </c>
      <c r="C53" s="70">
        <f>+'[2]C.S.C.20 mm'!$U$21+200</f>
        <v>5800</v>
      </c>
      <c r="D53" s="286"/>
      <c r="E53" s="57">
        <f>+D53*C53</f>
        <v>0</v>
      </c>
      <c r="F53" s="54"/>
    </row>
    <row r="54" spans="1:6" ht="20.399999999999999" x14ac:dyDescent="0.3">
      <c r="A54" s="45" t="s">
        <v>10</v>
      </c>
      <c r="B54" s="46" t="s">
        <v>57</v>
      </c>
      <c r="C54" s="288"/>
      <c r="D54" s="72"/>
      <c r="E54" s="282"/>
      <c r="F54" s="85" t="s">
        <v>352</v>
      </c>
    </row>
    <row r="55" spans="1:6" x14ac:dyDescent="0.3">
      <c r="A55" s="50" t="s">
        <v>376</v>
      </c>
      <c r="B55" s="51" t="s">
        <v>58</v>
      </c>
      <c r="C55" s="52">
        <f>+'[2]C.PO. 20 mm'!$R$30</f>
        <v>4600</v>
      </c>
      <c r="D55" s="287"/>
      <c r="E55" s="53">
        <f t="shared" ref="E55:E60" si="1">+D55*C55</f>
        <v>0</v>
      </c>
      <c r="F55" s="54"/>
    </row>
    <row r="56" spans="1:6" x14ac:dyDescent="0.3">
      <c r="A56" s="50" t="s">
        <v>377</v>
      </c>
      <c r="B56" s="42" t="s">
        <v>58</v>
      </c>
      <c r="C56" s="43">
        <f>+'[2]C.PO. 20 mm'!$R$31</f>
        <v>4650</v>
      </c>
      <c r="D56" s="251"/>
      <c r="E56" s="44">
        <f t="shared" si="1"/>
        <v>0</v>
      </c>
      <c r="F56" s="54"/>
    </row>
    <row r="57" spans="1:6" x14ac:dyDescent="0.3">
      <c r="A57" s="50" t="s">
        <v>378</v>
      </c>
      <c r="B57" s="42" t="s">
        <v>58</v>
      </c>
      <c r="C57" s="43">
        <f>+'[2]C.PO. 20 mm'!$R$32</f>
        <v>4700</v>
      </c>
      <c r="D57" s="251"/>
      <c r="E57" s="44">
        <f t="shared" si="1"/>
        <v>0</v>
      </c>
      <c r="F57" s="315"/>
    </row>
    <row r="58" spans="1:6" x14ac:dyDescent="0.3">
      <c r="A58" s="50" t="s">
        <v>379</v>
      </c>
      <c r="B58" s="42" t="s">
        <v>58</v>
      </c>
      <c r="C58" s="43">
        <f>+'[2]C.PO. 20 mm'!$R$33</f>
        <v>4750</v>
      </c>
      <c r="D58" s="251"/>
      <c r="E58" s="44">
        <f t="shared" si="1"/>
        <v>0</v>
      </c>
      <c r="F58" s="54"/>
    </row>
    <row r="59" spans="1:6" x14ac:dyDescent="0.3">
      <c r="A59" s="50" t="s">
        <v>380</v>
      </c>
      <c r="B59" s="42" t="s">
        <v>58</v>
      </c>
      <c r="C59" s="43">
        <f>+'[2]C.PO. 20 mm'!$R$34</f>
        <v>4800</v>
      </c>
      <c r="D59" s="251"/>
      <c r="E59" s="44">
        <f t="shared" si="1"/>
        <v>0</v>
      </c>
      <c r="F59" s="315"/>
    </row>
    <row r="60" spans="1:6" x14ac:dyDescent="0.3">
      <c r="A60" s="50" t="s">
        <v>381</v>
      </c>
      <c r="B60" s="55" t="s">
        <v>146</v>
      </c>
      <c r="C60" s="56">
        <f>+'[4]C.PO. 20 mm'!$R$5</f>
        <v>4650</v>
      </c>
      <c r="D60" s="286"/>
      <c r="E60" s="57">
        <f t="shared" si="1"/>
        <v>0</v>
      </c>
      <c r="F60" s="315"/>
    </row>
    <row r="61" spans="1:6" ht="21.6" x14ac:dyDescent="0.3">
      <c r="A61" s="45" t="s">
        <v>10</v>
      </c>
      <c r="B61" s="46" t="s">
        <v>61</v>
      </c>
      <c r="C61" s="58"/>
      <c r="D61" s="72"/>
      <c r="E61" s="60"/>
      <c r="F61" s="134" t="s">
        <v>288</v>
      </c>
    </row>
    <row r="62" spans="1:6" x14ac:dyDescent="0.3">
      <c r="A62" s="50" t="s">
        <v>350</v>
      </c>
      <c r="B62" s="51" t="s">
        <v>150</v>
      </c>
      <c r="C62" s="52">
        <f>+'[2]Collar ajustable'!$U$39</f>
        <v>5500</v>
      </c>
      <c r="D62" s="287"/>
      <c r="E62" s="53">
        <f>+D62*C62</f>
        <v>0</v>
      </c>
      <c r="F62" s="135"/>
    </row>
    <row r="63" spans="1:6" ht="15" thickBot="1" x14ac:dyDescent="0.35">
      <c r="A63" s="91" t="s">
        <v>351</v>
      </c>
      <c r="B63" s="158" t="s">
        <v>62</v>
      </c>
      <c r="C63" s="92">
        <f>+'[2]Collar ajustable'!$U$37</f>
        <v>4850</v>
      </c>
      <c r="D63" s="251"/>
      <c r="E63" s="159">
        <f>+D63*C63</f>
        <v>0</v>
      </c>
      <c r="F63" s="160"/>
    </row>
    <row r="64" spans="1:6" ht="25.5" customHeight="1" thickBot="1" x14ac:dyDescent="0.35">
      <c r="A64" s="75" t="s">
        <v>111</v>
      </c>
      <c r="B64" s="161"/>
      <c r="C64" s="77" t="s">
        <v>182</v>
      </c>
      <c r="D64" s="78">
        <f>SUM(D4:D63)</f>
        <v>0</v>
      </c>
      <c r="E64" s="79">
        <f>SUM(E3:E63)</f>
        <v>0</v>
      </c>
      <c r="F64" s="80"/>
    </row>
    <row r="65" spans="1:6" ht="15" thickBot="1" x14ac:dyDescent="0.35">
      <c r="A65" s="142"/>
      <c r="B65" s="142"/>
      <c r="C65" s="142"/>
      <c r="D65" s="142"/>
      <c r="E65" s="142"/>
      <c r="F65" s="142"/>
    </row>
    <row r="66" spans="1:6" ht="24" customHeight="1" thickBot="1" x14ac:dyDescent="0.35">
      <c r="A66" s="404" t="s">
        <v>609</v>
      </c>
      <c r="B66" s="405"/>
      <c r="C66" s="405"/>
      <c r="D66" s="405"/>
      <c r="E66" s="405"/>
      <c r="F66" s="229"/>
    </row>
    <row r="67" spans="1:6" ht="18" thickBot="1" x14ac:dyDescent="0.35">
      <c r="A67" s="36"/>
      <c r="B67" s="37"/>
      <c r="C67" s="38" t="s">
        <v>2</v>
      </c>
      <c r="D67" s="39" t="s">
        <v>4</v>
      </c>
      <c r="E67" s="40" t="s">
        <v>3</v>
      </c>
      <c r="F67" s="233" t="s">
        <v>8</v>
      </c>
    </row>
    <row r="68" spans="1:6" ht="15.6" x14ac:dyDescent="0.3">
      <c r="A68" s="45" t="s">
        <v>10</v>
      </c>
      <c r="B68" s="152" t="s">
        <v>195</v>
      </c>
      <c r="C68" s="151"/>
      <c r="D68" s="115"/>
      <c r="E68" s="116"/>
      <c r="F68" s="90" t="s">
        <v>171</v>
      </c>
    </row>
    <row r="69" spans="1:6" x14ac:dyDescent="0.3">
      <c r="A69" s="319" t="s">
        <v>622</v>
      </c>
      <c r="B69" s="103" t="s">
        <v>635</v>
      </c>
      <c r="C69" s="104">
        <f>+'[4]Pretal 20 mm'!$S$58+'[4]C.PO. 20 mm'!$R$5</f>
        <v>19450</v>
      </c>
      <c r="D69" s="251"/>
      <c r="E69" s="147">
        <f>+D69*C69</f>
        <v>0</v>
      </c>
      <c r="F69" s="5"/>
    </row>
    <row r="70" spans="1:6" x14ac:dyDescent="0.3">
      <c r="A70" s="319" t="s">
        <v>623</v>
      </c>
      <c r="B70" s="110" t="s">
        <v>181</v>
      </c>
      <c r="C70" s="111">
        <f>+C60</f>
        <v>4650</v>
      </c>
      <c r="D70" s="286"/>
      <c r="E70" s="333" t="s">
        <v>180</v>
      </c>
      <c r="F70" s="327"/>
    </row>
    <row r="71" spans="1:6" ht="15.6" x14ac:dyDescent="0.3">
      <c r="A71" s="45" t="s">
        <v>10</v>
      </c>
      <c r="B71" s="334" t="s">
        <v>193</v>
      </c>
      <c r="C71" s="322"/>
      <c r="D71" s="323"/>
      <c r="E71" s="324"/>
      <c r="F71" s="335" t="s">
        <v>178</v>
      </c>
    </row>
    <row r="72" spans="1:6" x14ac:dyDescent="0.3">
      <c r="A72" s="86" t="s">
        <v>512</v>
      </c>
      <c r="B72" s="103" t="s">
        <v>194</v>
      </c>
      <c r="C72" s="104"/>
      <c r="D72" s="251"/>
      <c r="E72" s="147">
        <f>+D72*C72</f>
        <v>0</v>
      </c>
      <c r="F72" s="5"/>
    </row>
    <row r="73" spans="1:6" x14ac:dyDescent="0.3">
      <c r="A73" s="299" t="s">
        <v>382</v>
      </c>
      <c r="B73" s="110" t="s">
        <v>179</v>
      </c>
      <c r="C73" s="111"/>
      <c r="D73" s="286"/>
      <c r="E73" s="150">
        <f>+D73*C73</f>
        <v>0</v>
      </c>
      <c r="F73" s="5"/>
    </row>
    <row r="74" spans="1:6" ht="15.6" x14ac:dyDescent="0.3">
      <c r="A74" s="300" t="s">
        <v>10</v>
      </c>
      <c r="B74" s="321" t="s">
        <v>191</v>
      </c>
      <c r="C74" s="322"/>
      <c r="D74" s="323"/>
      <c r="E74" s="324"/>
      <c r="F74" s="85" t="s">
        <v>177</v>
      </c>
    </row>
    <row r="75" spans="1:6" x14ac:dyDescent="0.3">
      <c r="A75" s="86" t="s">
        <v>512</v>
      </c>
      <c r="B75" s="103" t="s">
        <v>192</v>
      </c>
      <c r="C75" s="104"/>
      <c r="D75" s="251"/>
      <c r="E75" s="147">
        <f>+D75*C75</f>
        <v>0</v>
      </c>
      <c r="F75" s="5"/>
    </row>
    <row r="76" spans="1:6" ht="15" thickBot="1" x14ac:dyDescent="0.35">
      <c r="A76" s="299" t="s">
        <v>383</v>
      </c>
      <c r="B76" s="110" t="s">
        <v>176</v>
      </c>
      <c r="C76" s="111"/>
      <c r="D76" s="286"/>
      <c r="E76" s="150">
        <f>+D76*C76</f>
        <v>0</v>
      </c>
      <c r="F76" s="5"/>
    </row>
    <row r="77" spans="1:6" ht="24" customHeight="1" thickBot="1" x14ac:dyDescent="0.35">
      <c r="A77" s="93" t="s">
        <v>111</v>
      </c>
      <c r="B77" s="143"/>
      <c r="C77" s="181" t="s">
        <v>182</v>
      </c>
      <c r="D77" s="33">
        <f>SUM(D68:D73)</f>
        <v>0</v>
      </c>
      <c r="E77" s="182">
        <f>SUM(E68:E73)</f>
        <v>0</v>
      </c>
      <c r="F77" s="142"/>
    </row>
  </sheetData>
  <mergeCells count="2">
    <mergeCell ref="A1:E1"/>
    <mergeCell ref="A66:E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93BF"/>
  </sheetPr>
  <dimension ref="A1:F46"/>
  <sheetViews>
    <sheetView topLeftCell="A25" workbookViewId="0">
      <selection activeCell="B38" sqref="B38"/>
    </sheetView>
  </sheetViews>
  <sheetFormatPr baseColWidth="10" defaultRowHeight="14.4" x14ac:dyDescent="0.3"/>
  <cols>
    <col min="2" max="2" width="81.88671875" customWidth="1"/>
    <col min="5" max="5" width="17.6640625" customWidth="1"/>
    <col min="6" max="6" width="64.88671875" customWidth="1"/>
  </cols>
  <sheetData>
    <row r="1" spans="1:6" ht="23.25" customHeight="1" thickBot="1" x14ac:dyDescent="0.35">
      <c r="A1" s="401" t="s">
        <v>63</v>
      </c>
      <c r="B1" s="400"/>
      <c r="C1" s="400"/>
      <c r="D1" s="400"/>
      <c r="E1" s="400"/>
      <c r="F1" s="225"/>
    </row>
    <row r="2" spans="1:6" ht="37.200000000000003" customHeight="1" thickBot="1" x14ac:dyDescent="0.35">
      <c r="A2" s="36"/>
      <c r="B2" s="298" t="s">
        <v>5</v>
      </c>
      <c r="C2" s="41" t="s">
        <v>2</v>
      </c>
      <c r="D2" s="39" t="s">
        <v>4</v>
      </c>
      <c r="E2" s="40" t="s">
        <v>3</v>
      </c>
      <c r="F2" s="236" t="s">
        <v>8</v>
      </c>
    </row>
    <row r="3" spans="1:6" ht="15.6" x14ac:dyDescent="0.3">
      <c r="A3" s="296" t="s">
        <v>10</v>
      </c>
      <c r="B3" s="144" t="s">
        <v>64</v>
      </c>
      <c r="C3" s="297"/>
      <c r="D3" s="146"/>
      <c r="E3" s="183"/>
      <c r="F3" s="157" t="s">
        <v>155</v>
      </c>
    </row>
    <row r="4" spans="1:6" x14ac:dyDescent="0.3">
      <c r="A4" s="123" t="s">
        <v>387</v>
      </c>
      <c r="B4" s="103" t="s">
        <v>151</v>
      </c>
      <c r="C4" s="104">
        <f>+'[2]C.25 mm'!$S$27</f>
        <v>5100</v>
      </c>
      <c r="D4" s="254"/>
      <c r="E4" s="105">
        <f>+D4*C4</f>
        <v>0</v>
      </c>
      <c r="F4" s="135"/>
    </row>
    <row r="5" spans="1:6" x14ac:dyDescent="0.3">
      <c r="A5" s="123" t="s">
        <v>388</v>
      </c>
      <c r="B5" s="107" t="s">
        <v>65</v>
      </c>
      <c r="C5" s="108">
        <f>+'[2]C.25 mm'!$S$28</f>
        <v>5150</v>
      </c>
      <c r="D5" s="252"/>
      <c r="E5" s="109">
        <f>+D5*C5</f>
        <v>0</v>
      </c>
      <c r="F5" s="135"/>
    </row>
    <row r="6" spans="1:6" x14ac:dyDescent="0.3">
      <c r="A6" s="123" t="s">
        <v>389</v>
      </c>
      <c r="B6" s="107" t="s">
        <v>65</v>
      </c>
      <c r="C6" s="108">
        <f>+'[2]C.25 mm'!$S$29</f>
        <v>5200</v>
      </c>
      <c r="D6" s="252"/>
      <c r="E6" s="109">
        <f>+D6*C6</f>
        <v>0</v>
      </c>
      <c r="F6" s="135"/>
    </row>
    <row r="7" spans="1:6" x14ac:dyDescent="0.3">
      <c r="A7" s="123" t="s">
        <v>390</v>
      </c>
      <c r="B7" s="107" t="s">
        <v>65</v>
      </c>
      <c r="C7" s="108">
        <f>+'[2]C.25 mm'!$S$30</f>
        <v>5250</v>
      </c>
      <c r="D7" s="252"/>
      <c r="E7" s="109">
        <f>+D7*C7</f>
        <v>0</v>
      </c>
      <c r="F7" s="135"/>
    </row>
    <row r="8" spans="1:6" x14ac:dyDescent="0.3">
      <c r="A8" s="299" t="s">
        <v>392</v>
      </c>
      <c r="B8" s="110" t="s">
        <v>152</v>
      </c>
      <c r="C8" s="111">
        <f>+'[2]C.25 mm'!$S$3</f>
        <v>5150</v>
      </c>
      <c r="D8" s="253"/>
      <c r="E8" s="112">
        <f>+D8*C8</f>
        <v>0</v>
      </c>
      <c r="F8" s="135"/>
    </row>
    <row r="9" spans="1:6" ht="15.6" x14ac:dyDescent="0.3">
      <c r="A9" s="300" t="s">
        <v>10</v>
      </c>
      <c r="B9" s="46" t="s">
        <v>594</v>
      </c>
      <c r="C9" s="58"/>
      <c r="D9" s="72"/>
      <c r="E9" s="60"/>
      <c r="F9" s="85" t="s">
        <v>149</v>
      </c>
    </row>
    <row r="10" spans="1:6" x14ac:dyDescent="0.3">
      <c r="A10" s="50" t="s">
        <v>588</v>
      </c>
      <c r="B10" s="42" t="s">
        <v>595</v>
      </c>
      <c r="C10" s="43">
        <f>+'[2]C.25 mm'!$S$55</f>
        <v>5950</v>
      </c>
      <c r="D10" s="251"/>
      <c r="E10" s="284">
        <f t="shared" ref="E10:E14" si="0">+D10*C10</f>
        <v>0</v>
      </c>
      <c r="F10" s="54"/>
    </row>
    <row r="11" spans="1:6" x14ac:dyDescent="0.3">
      <c r="A11" s="50" t="s">
        <v>589</v>
      </c>
      <c r="B11" s="42" t="s">
        <v>595</v>
      </c>
      <c r="C11" s="43">
        <f>+'[2]C.25 mm'!$S$56</f>
        <v>6000</v>
      </c>
      <c r="D11" s="251"/>
      <c r="E11" s="284">
        <f t="shared" si="0"/>
        <v>0</v>
      </c>
      <c r="F11" s="54"/>
    </row>
    <row r="12" spans="1:6" x14ac:dyDescent="0.3">
      <c r="A12" s="50" t="s">
        <v>602</v>
      </c>
      <c r="B12" s="42" t="s">
        <v>595</v>
      </c>
      <c r="C12" s="43">
        <f>+'[2]C.25 mm'!$S$57</f>
        <v>6050</v>
      </c>
      <c r="D12" s="251"/>
      <c r="E12" s="284">
        <f t="shared" si="0"/>
        <v>0</v>
      </c>
      <c r="F12" s="54"/>
    </row>
    <row r="13" spans="1:6" x14ac:dyDescent="0.3">
      <c r="A13" s="50" t="s">
        <v>603</v>
      </c>
      <c r="B13" s="42" t="s">
        <v>595</v>
      </c>
      <c r="C13" s="43">
        <f>+'[2]C.25 mm'!$S$58</f>
        <v>6100</v>
      </c>
      <c r="D13" s="251"/>
      <c r="E13" s="284">
        <f t="shared" ref="E13" si="1">+D13*C13</f>
        <v>0</v>
      </c>
      <c r="F13" s="54"/>
    </row>
    <row r="14" spans="1:6" x14ac:dyDescent="0.3">
      <c r="A14" s="50" t="s">
        <v>590</v>
      </c>
      <c r="B14" s="55" t="s">
        <v>596</v>
      </c>
      <c r="C14" s="56">
        <f>+'[2]C.30 mm'!$V$8</f>
        <v>6500</v>
      </c>
      <c r="D14" s="286"/>
      <c r="E14" s="301">
        <f t="shared" si="0"/>
        <v>0</v>
      </c>
      <c r="F14" s="54"/>
    </row>
    <row r="15" spans="1:6" ht="16.5" customHeight="1" x14ac:dyDescent="0.3">
      <c r="A15" s="45" t="s">
        <v>10</v>
      </c>
      <c r="B15" s="46" t="s">
        <v>156</v>
      </c>
      <c r="C15" s="114"/>
      <c r="D15" s="115"/>
      <c r="E15" s="125"/>
      <c r="F15" s="285" t="s">
        <v>551</v>
      </c>
    </row>
    <row r="16" spans="1:6" x14ac:dyDescent="0.3">
      <c r="A16" s="123" t="s">
        <v>393</v>
      </c>
      <c r="B16" s="118" t="s">
        <v>67</v>
      </c>
      <c r="C16" s="104">
        <f>+'[2]C.25 mm'!$S$33</f>
        <v>7750</v>
      </c>
      <c r="D16" s="254"/>
      <c r="E16" s="105">
        <f t="shared" ref="E16:E22" si="2">+D16*C16</f>
        <v>0</v>
      </c>
      <c r="F16" s="135"/>
    </row>
    <row r="17" spans="1:6" x14ac:dyDescent="0.3">
      <c r="A17" s="123" t="s">
        <v>394</v>
      </c>
      <c r="B17" s="119" t="s">
        <v>68</v>
      </c>
      <c r="C17" s="108">
        <f>+'[2]C.25 mm'!$S$34</f>
        <v>7800</v>
      </c>
      <c r="D17" s="252"/>
      <c r="E17" s="109">
        <f t="shared" si="2"/>
        <v>0</v>
      </c>
      <c r="F17" s="135"/>
    </row>
    <row r="18" spans="1:6" x14ac:dyDescent="0.3">
      <c r="A18" s="123" t="s">
        <v>395</v>
      </c>
      <c r="B18" s="119" t="s">
        <v>68</v>
      </c>
      <c r="C18" s="108">
        <f>+'[2]C.25 mm'!$S$35</f>
        <v>7850</v>
      </c>
      <c r="D18" s="252"/>
      <c r="E18" s="109">
        <f t="shared" si="2"/>
        <v>0</v>
      </c>
      <c r="F18" s="135"/>
    </row>
    <row r="19" spans="1:6" x14ac:dyDescent="0.3">
      <c r="A19" s="123" t="s">
        <v>396</v>
      </c>
      <c r="B19" s="119" t="s">
        <v>68</v>
      </c>
      <c r="C19" s="108">
        <f>+'[2]C.25 mm'!$S$36</f>
        <v>7900</v>
      </c>
      <c r="D19" s="252"/>
      <c r="E19" s="109">
        <f t="shared" si="2"/>
        <v>0</v>
      </c>
      <c r="F19" s="135"/>
    </row>
    <row r="20" spans="1:6" x14ac:dyDescent="0.3">
      <c r="A20" s="123" t="s">
        <v>397</v>
      </c>
      <c r="B20" s="119" t="s">
        <v>68</v>
      </c>
      <c r="C20" s="108">
        <f>+'[2]C.25 mm'!$S$37</f>
        <v>7950</v>
      </c>
      <c r="D20" s="252"/>
      <c r="E20" s="109">
        <f t="shared" si="2"/>
        <v>0</v>
      </c>
      <c r="F20" s="135"/>
    </row>
    <row r="21" spans="1:6" x14ac:dyDescent="0.3">
      <c r="A21" s="123" t="s">
        <v>398</v>
      </c>
      <c r="B21" s="119" t="s">
        <v>68</v>
      </c>
      <c r="C21" s="108">
        <f>+'[2]C.25 mm'!$S$38</f>
        <v>8000</v>
      </c>
      <c r="D21" s="252"/>
      <c r="E21" s="109">
        <f t="shared" si="2"/>
        <v>0</v>
      </c>
      <c r="F21" s="135"/>
    </row>
    <row r="22" spans="1:6" x14ac:dyDescent="0.3">
      <c r="A22" s="123" t="s">
        <v>399</v>
      </c>
      <c r="B22" s="121" t="s">
        <v>158</v>
      </c>
      <c r="C22" s="111">
        <f>+'[2]C.25 mm'!$S$8</f>
        <v>6300</v>
      </c>
      <c r="D22" s="253"/>
      <c r="E22" s="112">
        <f t="shared" si="2"/>
        <v>0</v>
      </c>
      <c r="F22" s="135"/>
    </row>
    <row r="23" spans="1:6" ht="15.6" x14ac:dyDescent="0.3">
      <c r="A23" s="178" t="s">
        <v>10</v>
      </c>
      <c r="B23" s="152" t="s">
        <v>391</v>
      </c>
      <c r="C23" s="114"/>
      <c r="D23" s="115"/>
      <c r="E23" s="282"/>
      <c r="F23" s="90" t="s">
        <v>153</v>
      </c>
    </row>
    <row r="24" spans="1:6" x14ac:dyDescent="0.3">
      <c r="A24" s="123" t="s">
        <v>289</v>
      </c>
      <c r="B24" s="118" t="s">
        <v>66</v>
      </c>
      <c r="C24" s="104">
        <f>+'[2]C.25 mm'!$S$41</f>
        <v>5250</v>
      </c>
      <c r="D24" s="254"/>
      <c r="E24" s="105">
        <f t="shared" ref="E24:E29" si="3">+D24*C24</f>
        <v>0</v>
      </c>
      <c r="F24" s="135"/>
    </row>
    <row r="25" spans="1:6" x14ac:dyDescent="0.3">
      <c r="A25" s="123" t="s">
        <v>290</v>
      </c>
      <c r="B25" s="119" t="s">
        <v>66</v>
      </c>
      <c r="C25" s="108">
        <f>+'[2]C.25 mm'!$S$42</f>
        <v>5300</v>
      </c>
      <c r="D25" s="252"/>
      <c r="E25" s="109">
        <f t="shared" si="3"/>
        <v>0</v>
      </c>
      <c r="F25" s="135"/>
    </row>
    <row r="26" spans="1:6" x14ac:dyDescent="0.3">
      <c r="A26" s="123" t="s">
        <v>291</v>
      </c>
      <c r="B26" s="119" t="s">
        <v>66</v>
      </c>
      <c r="C26" s="108">
        <f>+'[2]C.25 mm'!$S$43</f>
        <v>5350</v>
      </c>
      <c r="D26" s="252"/>
      <c r="E26" s="109">
        <f t="shared" si="3"/>
        <v>0</v>
      </c>
      <c r="F26" s="135"/>
    </row>
    <row r="27" spans="1:6" x14ac:dyDescent="0.3">
      <c r="A27" s="123" t="s">
        <v>292</v>
      </c>
      <c r="B27" s="119" t="s">
        <v>66</v>
      </c>
      <c r="C27" s="108">
        <f>+'[2]C.25 mm'!$S$44</f>
        <v>5400</v>
      </c>
      <c r="D27" s="252"/>
      <c r="E27" s="109">
        <f t="shared" si="3"/>
        <v>0</v>
      </c>
      <c r="F27" s="135"/>
    </row>
    <row r="28" spans="1:6" x14ac:dyDescent="0.3">
      <c r="A28" s="123" t="s">
        <v>293</v>
      </c>
      <c r="B28" s="119" t="s">
        <v>66</v>
      </c>
      <c r="C28" s="108">
        <f>+'[2]C.25 mm'!$S$44+50</f>
        <v>5450</v>
      </c>
      <c r="D28" s="252"/>
      <c r="E28" s="109">
        <f t="shared" si="3"/>
        <v>0</v>
      </c>
      <c r="F28" s="135"/>
    </row>
    <row r="29" spans="1:6" x14ac:dyDescent="0.3">
      <c r="A29" s="123" t="s">
        <v>294</v>
      </c>
      <c r="B29" s="121" t="s">
        <v>154</v>
      </c>
      <c r="C29" s="111">
        <f>+'[2]C.25 mm'!$S$7</f>
        <v>5450</v>
      </c>
      <c r="D29" s="253"/>
      <c r="E29" s="112">
        <f t="shared" si="3"/>
        <v>0</v>
      </c>
      <c r="F29" s="135"/>
    </row>
    <row r="30" spans="1:6" ht="21.6" x14ac:dyDescent="0.3">
      <c r="A30" s="45" t="s">
        <v>10</v>
      </c>
      <c r="B30" s="113" t="s">
        <v>461</v>
      </c>
      <c r="C30" s="151"/>
      <c r="D30" s="115"/>
      <c r="E30" s="125"/>
      <c r="F30" s="302" t="s">
        <v>288</v>
      </c>
    </row>
    <row r="31" spans="1:6" x14ac:dyDescent="0.3">
      <c r="A31" s="123" t="s">
        <v>400</v>
      </c>
      <c r="B31" s="118" t="s">
        <v>157</v>
      </c>
      <c r="C31" s="104">
        <f>+'[2]Collar ajustable'!$U$52</f>
        <v>6400</v>
      </c>
      <c r="D31" s="254"/>
      <c r="E31" s="105">
        <f>+D31*C31</f>
        <v>0</v>
      </c>
      <c r="F31" s="135"/>
    </row>
    <row r="32" spans="1:6" ht="15" thickBot="1" x14ac:dyDescent="0.35">
      <c r="A32" s="153" t="s">
        <v>401</v>
      </c>
      <c r="B32" s="163" t="s">
        <v>69</v>
      </c>
      <c r="C32" s="155">
        <f>+'[2]Collar ajustable'!$U$50</f>
        <v>5400</v>
      </c>
      <c r="D32" s="252"/>
      <c r="E32" s="164">
        <f>+D32*C32</f>
        <v>0</v>
      </c>
      <c r="F32" s="165"/>
    </row>
    <row r="33" spans="1:6" ht="16.2" thickBot="1" x14ac:dyDescent="0.35">
      <c r="A33" s="75" t="s">
        <v>111</v>
      </c>
      <c r="B33" s="141"/>
      <c r="C33" s="77" t="s">
        <v>182</v>
      </c>
      <c r="D33" s="78">
        <f>SUM(D4:D32)</f>
        <v>0</v>
      </c>
      <c r="E33" s="79">
        <f>SUM(E4:E32)</f>
        <v>0</v>
      </c>
      <c r="F33" s="142"/>
    </row>
    <row r="34" spans="1:6" ht="15" thickBot="1" x14ac:dyDescent="0.35">
      <c r="A34" s="142"/>
      <c r="B34" s="142"/>
      <c r="C34" s="142"/>
      <c r="D34" s="142"/>
      <c r="E34" s="142"/>
      <c r="F34" s="142"/>
    </row>
    <row r="35" spans="1:6" ht="18" thickBot="1" x14ac:dyDescent="0.35">
      <c r="A35" s="401" t="s">
        <v>610</v>
      </c>
      <c r="B35" s="403"/>
      <c r="C35" s="403"/>
      <c r="D35" s="403"/>
      <c r="E35" s="403"/>
      <c r="F35" s="227"/>
    </row>
    <row r="36" spans="1:6" ht="18" thickBot="1" x14ac:dyDescent="0.35">
      <c r="A36" s="36"/>
      <c r="B36" s="37"/>
      <c r="C36" s="38" t="s">
        <v>2</v>
      </c>
      <c r="D36" s="39" t="s">
        <v>4</v>
      </c>
      <c r="E36" s="40" t="s">
        <v>3</v>
      </c>
      <c r="F36" s="233" t="s">
        <v>8</v>
      </c>
    </row>
    <row r="37" spans="1:6" ht="15.6" x14ac:dyDescent="0.3">
      <c r="A37" s="45" t="s">
        <v>10</v>
      </c>
      <c r="B37" s="152" t="s">
        <v>198</v>
      </c>
      <c r="C37" s="151"/>
      <c r="D37" s="115"/>
      <c r="E37" s="116"/>
      <c r="F37" s="90" t="s">
        <v>171</v>
      </c>
    </row>
    <row r="38" spans="1:6" x14ac:dyDescent="0.3">
      <c r="A38" s="319" t="s">
        <v>611</v>
      </c>
      <c r="B38" s="103" t="s">
        <v>632</v>
      </c>
      <c r="C38" s="104">
        <f>+'[4]Pretal 25 mm'!$S$38+'[4]C.25 mm'!$S$7</f>
        <v>21050</v>
      </c>
      <c r="D38" s="252"/>
      <c r="E38" s="147">
        <f>+D38*C38</f>
        <v>0</v>
      </c>
      <c r="F38" s="5"/>
    </row>
    <row r="39" spans="1:6" x14ac:dyDescent="0.3">
      <c r="A39" s="336" t="s">
        <v>386</v>
      </c>
      <c r="B39" s="110" t="s">
        <v>181</v>
      </c>
      <c r="C39" s="111">
        <f>+'[2]C.25 mm'!$S$7</f>
        <v>5450</v>
      </c>
      <c r="D39" s="253"/>
      <c r="E39" s="333" t="s">
        <v>180</v>
      </c>
      <c r="F39" s="327"/>
    </row>
    <row r="40" spans="1:6" ht="15.6" x14ac:dyDescent="0.3">
      <c r="A40" s="300" t="s">
        <v>10</v>
      </c>
      <c r="B40" s="321" t="s">
        <v>196</v>
      </c>
      <c r="C40" s="322"/>
      <c r="D40" s="323"/>
      <c r="E40" s="324"/>
      <c r="F40" s="335" t="s">
        <v>177</v>
      </c>
    </row>
    <row r="41" spans="1:6" ht="19.5" customHeight="1" x14ac:dyDescent="0.3">
      <c r="A41" s="86" t="s">
        <v>512</v>
      </c>
      <c r="B41" s="103" t="s">
        <v>196</v>
      </c>
      <c r="C41" s="104"/>
      <c r="D41" s="252"/>
      <c r="E41" s="147">
        <f>+D41*C41</f>
        <v>0</v>
      </c>
      <c r="F41" s="5"/>
    </row>
    <row r="42" spans="1:6" x14ac:dyDescent="0.3">
      <c r="A42" s="123" t="s">
        <v>384</v>
      </c>
      <c r="B42" s="110" t="s">
        <v>176</v>
      </c>
      <c r="C42" s="111"/>
      <c r="D42" s="252"/>
      <c r="E42" s="150">
        <f>+D42*C42</f>
        <v>0</v>
      </c>
      <c r="F42" s="5"/>
    </row>
    <row r="43" spans="1:6" ht="15.6" x14ac:dyDescent="0.3">
      <c r="A43" s="45" t="s">
        <v>10</v>
      </c>
      <c r="B43" s="113" t="s">
        <v>197</v>
      </c>
      <c r="C43" s="151"/>
      <c r="D43" s="115"/>
      <c r="E43" s="116"/>
      <c r="F43" s="90" t="s">
        <v>178</v>
      </c>
    </row>
    <row r="44" spans="1:6" x14ac:dyDescent="0.3">
      <c r="A44" s="86" t="s">
        <v>512</v>
      </c>
      <c r="B44" s="103" t="s">
        <v>197</v>
      </c>
      <c r="C44" s="104"/>
      <c r="D44" s="252"/>
      <c r="E44" s="147">
        <f>+D44*C44</f>
        <v>0</v>
      </c>
      <c r="F44" s="5"/>
    </row>
    <row r="45" spans="1:6" ht="15" thickBot="1" x14ac:dyDescent="0.35">
      <c r="A45" s="123" t="s">
        <v>385</v>
      </c>
      <c r="B45" s="110" t="s">
        <v>179</v>
      </c>
      <c r="C45" s="111"/>
      <c r="D45" s="253"/>
      <c r="E45" s="150">
        <f>+D45*C45</f>
        <v>0</v>
      </c>
      <c r="F45" s="5"/>
    </row>
    <row r="46" spans="1:6" ht="16.2" thickBot="1" x14ac:dyDescent="0.35">
      <c r="A46" s="93" t="s">
        <v>111</v>
      </c>
      <c r="B46" s="143"/>
      <c r="C46" s="181" t="s">
        <v>182</v>
      </c>
      <c r="D46" s="33">
        <f>SUM(D37:D45)</f>
        <v>0</v>
      </c>
      <c r="E46" s="182">
        <f>SUM(E37:E45)</f>
        <v>0</v>
      </c>
      <c r="F46" s="142"/>
    </row>
  </sheetData>
  <mergeCells count="2">
    <mergeCell ref="A1:E1"/>
    <mergeCell ref="A35:E35"/>
  </mergeCells>
  <phoneticPr fontId="2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FF"/>
  </sheetPr>
  <dimension ref="A1:F83"/>
  <sheetViews>
    <sheetView topLeftCell="A61" zoomScaleNormal="100" workbookViewId="0">
      <selection activeCell="B81" sqref="B81"/>
    </sheetView>
  </sheetViews>
  <sheetFormatPr baseColWidth="10" defaultRowHeight="14.4" x14ac:dyDescent="0.3"/>
  <cols>
    <col min="2" max="2" width="54.33203125" customWidth="1"/>
    <col min="5" max="5" width="17.88671875" customWidth="1"/>
    <col min="6" max="6" width="57.44140625" customWidth="1"/>
  </cols>
  <sheetData>
    <row r="1" spans="1:6" ht="23.25" customHeight="1" thickBot="1" x14ac:dyDescent="0.35">
      <c r="A1" s="401" t="s">
        <v>166</v>
      </c>
      <c r="B1" s="403"/>
      <c r="C1" s="403"/>
      <c r="D1" s="403"/>
      <c r="E1" s="403"/>
      <c r="F1" s="226"/>
    </row>
    <row r="2" spans="1:6" ht="37.200000000000003" customHeight="1" thickBot="1" x14ac:dyDescent="0.35">
      <c r="A2" s="305"/>
      <c r="B2" s="37" t="s">
        <v>5</v>
      </c>
      <c r="C2" s="38" t="s">
        <v>2</v>
      </c>
      <c r="D2" s="39" t="s">
        <v>4</v>
      </c>
      <c r="E2" s="40" t="s">
        <v>3</v>
      </c>
      <c r="F2" s="233" t="s">
        <v>8</v>
      </c>
    </row>
    <row r="3" spans="1:6" ht="15.6" x14ac:dyDescent="0.3">
      <c r="A3" s="156" t="s">
        <v>10</v>
      </c>
      <c r="B3" s="166" t="s">
        <v>76</v>
      </c>
      <c r="C3" s="167"/>
      <c r="D3" s="168"/>
      <c r="E3" s="169"/>
      <c r="F3" s="170" t="s">
        <v>167</v>
      </c>
    </row>
    <row r="4" spans="1:6" x14ac:dyDescent="0.3">
      <c r="A4" s="303" t="s">
        <v>405</v>
      </c>
      <c r="B4" s="88" t="s">
        <v>476</v>
      </c>
      <c r="C4" s="52">
        <f>+'[2]C.30 mm'!$V$26</f>
        <v>5700</v>
      </c>
      <c r="D4" s="252"/>
      <c r="E4" s="53">
        <f t="shared" ref="E4:E10" si="0">+D4*C4</f>
        <v>0</v>
      </c>
      <c r="F4" s="171"/>
    </row>
    <row r="5" spans="1:6" x14ac:dyDescent="0.3">
      <c r="A5" s="50" t="s">
        <v>406</v>
      </c>
      <c r="B5" s="88" t="s">
        <v>476</v>
      </c>
      <c r="C5" s="43">
        <f>+'[2]C.30 mm'!$V$26</f>
        <v>5700</v>
      </c>
      <c r="D5" s="252"/>
      <c r="E5" s="44">
        <f t="shared" si="0"/>
        <v>0</v>
      </c>
      <c r="F5" s="171"/>
    </row>
    <row r="6" spans="1:6" x14ac:dyDescent="0.3">
      <c r="A6" s="50" t="s">
        <v>407</v>
      </c>
      <c r="B6" s="88" t="s">
        <v>476</v>
      </c>
      <c r="C6" s="43">
        <f>+'[2]C.30 mm'!$V$28</f>
        <v>5750</v>
      </c>
      <c r="D6" s="252"/>
      <c r="E6" s="44">
        <f t="shared" si="0"/>
        <v>0</v>
      </c>
      <c r="F6" s="171"/>
    </row>
    <row r="7" spans="1:6" x14ac:dyDescent="0.3">
      <c r="A7" s="50" t="s">
        <v>408</v>
      </c>
      <c r="B7" s="88" t="s">
        <v>476</v>
      </c>
      <c r="C7" s="43">
        <f>+'[2]C.30 mm'!$V$28</f>
        <v>5750</v>
      </c>
      <c r="D7" s="252"/>
      <c r="E7" s="44">
        <f t="shared" si="0"/>
        <v>0</v>
      </c>
      <c r="F7" s="171"/>
    </row>
    <row r="8" spans="1:6" x14ac:dyDescent="0.3">
      <c r="A8" s="50" t="s">
        <v>409</v>
      </c>
      <c r="B8" s="88" t="s">
        <v>476</v>
      </c>
      <c r="C8" s="43">
        <f>+'[2]C.30 mm'!$V$30</f>
        <v>5800</v>
      </c>
      <c r="D8" s="252"/>
      <c r="E8" s="44">
        <f t="shared" si="0"/>
        <v>0</v>
      </c>
      <c r="F8" s="171"/>
    </row>
    <row r="9" spans="1:6" x14ac:dyDescent="0.3">
      <c r="A9" s="50" t="s">
        <v>410</v>
      </c>
      <c r="B9" s="88" t="s">
        <v>476</v>
      </c>
      <c r="C9" s="43">
        <f>+'[2]C.30 mm'!$V$30</f>
        <v>5800</v>
      </c>
      <c r="D9" s="252"/>
      <c r="E9" s="44">
        <f t="shared" si="0"/>
        <v>0</v>
      </c>
      <c r="F9" s="171"/>
    </row>
    <row r="10" spans="1:6" x14ac:dyDescent="0.3">
      <c r="A10" s="50" t="s">
        <v>411</v>
      </c>
      <c r="B10" s="55" t="s">
        <v>162</v>
      </c>
      <c r="C10" s="56">
        <f>+'[4]C.30 mm'!$V$3</f>
        <v>5760</v>
      </c>
      <c r="D10" s="252"/>
      <c r="E10" s="57">
        <f t="shared" si="0"/>
        <v>0</v>
      </c>
      <c r="F10" s="171"/>
    </row>
    <row r="11" spans="1:6" ht="16.95" customHeight="1" x14ac:dyDescent="0.3">
      <c r="A11" s="45" t="s">
        <v>10</v>
      </c>
      <c r="B11" s="46" t="s">
        <v>71</v>
      </c>
      <c r="C11" s="58"/>
      <c r="D11" s="72"/>
      <c r="E11" s="60"/>
      <c r="F11" s="172" t="s">
        <v>167</v>
      </c>
    </row>
    <row r="12" spans="1:6" x14ac:dyDescent="0.3">
      <c r="A12" s="303" t="s">
        <v>413</v>
      </c>
      <c r="B12" s="51" t="s">
        <v>475</v>
      </c>
      <c r="C12" s="52">
        <f>+'[2]C.30 mm'!$V$60</f>
        <v>7400</v>
      </c>
      <c r="D12" s="252"/>
      <c r="E12" s="53">
        <f t="shared" ref="E12:E18" si="1">+D12*C12</f>
        <v>0</v>
      </c>
      <c r="F12" s="171"/>
    </row>
    <row r="13" spans="1:6" x14ac:dyDescent="0.3">
      <c r="A13" s="50" t="s">
        <v>414</v>
      </c>
      <c r="B13" s="51" t="s">
        <v>475</v>
      </c>
      <c r="C13" s="43">
        <f>+'[2]C.30 mm'!$V$60</f>
        <v>7400</v>
      </c>
      <c r="D13" s="252"/>
      <c r="E13" s="44">
        <f t="shared" si="1"/>
        <v>0</v>
      </c>
      <c r="F13" s="171"/>
    </row>
    <row r="14" spans="1:6" x14ac:dyDescent="0.3">
      <c r="A14" s="50" t="s">
        <v>415</v>
      </c>
      <c r="B14" s="51" t="s">
        <v>475</v>
      </c>
      <c r="C14" s="43">
        <f>+'[2]C.30 mm'!$V$61</f>
        <v>7450</v>
      </c>
      <c r="D14" s="252"/>
      <c r="E14" s="44">
        <f t="shared" si="1"/>
        <v>0</v>
      </c>
      <c r="F14" s="171"/>
    </row>
    <row r="15" spans="1:6" x14ac:dyDescent="0.3">
      <c r="A15" s="50" t="s">
        <v>416</v>
      </c>
      <c r="B15" s="51" t="s">
        <v>475</v>
      </c>
      <c r="C15" s="43">
        <f>+'[2]C.30 mm'!$V$61</f>
        <v>7450</v>
      </c>
      <c r="D15" s="252"/>
      <c r="E15" s="44">
        <f t="shared" si="1"/>
        <v>0</v>
      </c>
      <c r="F15" s="171"/>
    </row>
    <row r="16" spans="1:6" x14ac:dyDescent="0.3">
      <c r="A16" s="50" t="s">
        <v>417</v>
      </c>
      <c r="B16" s="51" t="s">
        <v>475</v>
      </c>
      <c r="C16" s="43">
        <f>+'[2]C.30 mm'!$V$62</f>
        <v>7500</v>
      </c>
      <c r="D16" s="252"/>
      <c r="E16" s="44">
        <f t="shared" si="1"/>
        <v>0</v>
      </c>
      <c r="F16" s="171"/>
    </row>
    <row r="17" spans="1:6" x14ac:dyDescent="0.3">
      <c r="A17" s="50" t="s">
        <v>418</v>
      </c>
      <c r="B17" s="51" t="s">
        <v>475</v>
      </c>
      <c r="C17" s="43">
        <f>+'[2]C.30 mm'!$V$62</f>
        <v>7500</v>
      </c>
      <c r="D17" s="252"/>
      <c r="E17" s="44">
        <f t="shared" si="1"/>
        <v>0</v>
      </c>
      <c r="F17" s="171"/>
    </row>
    <row r="18" spans="1:6" x14ac:dyDescent="0.3">
      <c r="A18" s="50" t="s">
        <v>412</v>
      </c>
      <c r="B18" s="55" t="s">
        <v>162</v>
      </c>
      <c r="C18" s="56">
        <f>+'[4]C.30 mm'!$V$3</f>
        <v>5760</v>
      </c>
      <c r="D18" s="252"/>
      <c r="E18" s="57">
        <f t="shared" si="1"/>
        <v>0</v>
      </c>
      <c r="F18" s="171"/>
    </row>
    <row r="19" spans="1:6" ht="15.6" x14ac:dyDescent="0.3">
      <c r="A19" s="45" t="s">
        <v>10</v>
      </c>
      <c r="B19" s="46" t="s">
        <v>75</v>
      </c>
      <c r="C19" s="58"/>
      <c r="D19" s="72"/>
      <c r="E19" s="60"/>
      <c r="F19" s="172" t="s">
        <v>167</v>
      </c>
    </row>
    <row r="20" spans="1:6" x14ac:dyDescent="0.3">
      <c r="A20" s="303" t="s">
        <v>419</v>
      </c>
      <c r="B20" s="51" t="s">
        <v>474</v>
      </c>
      <c r="C20" s="52">
        <f>+'[2]C.30 mm'!$V$72</f>
        <v>7400</v>
      </c>
      <c r="D20" s="252"/>
      <c r="E20" s="53">
        <f t="shared" ref="E20:E26" si="2">+D20*C20</f>
        <v>0</v>
      </c>
      <c r="F20" s="171"/>
    </row>
    <row r="21" spans="1:6" x14ac:dyDescent="0.3">
      <c r="A21" s="50" t="s">
        <v>420</v>
      </c>
      <c r="B21" s="51" t="s">
        <v>474</v>
      </c>
      <c r="C21" s="43">
        <f>+'[2]C.30 mm'!$V$72</f>
        <v>7400</v>
      </c>
      <c r="D21" s="252"/>
      <c r="E21" s="44">
        <f t="shared" si="2"/>
        <v>0</v>
      </c>
      <c r="F21" s="171"/>
    </row>
    <row r="22" spans="1:6" x14ac:dyDescent="0.3">
      <c r="A22" s="50" t="s">
        <v>421</v>
      </c>
      <c r="B22" s="51" t="s">
        <v>474</v>
      </c>
      <c r="C22" s="43">
        <f>+'[2]C.30 mm'!$V$73</f>
        <v>7450</v>
      </c>
      <c r="D22" s="252"/>
      <c r="E22" s="44">
        <f t="shared" si="2"/>
        <v>0</v>
      </c>
      <c r="F22" s="171"/>
    </row>
    <row r="23" spans="1:6" x14ac:dyDescent="0.3">
      <c r="A23" s="50" t="s">
        <v>422</v>
      </c>
      <c r="B23" s="51" t="s">
        <v>474</v>
      </c>
      <c r="C23" s="43">
        <f>+'[2]C.30 mm'!$V$73</f>
        <v>7450</v>
      </c>
      <c r="D23" s="252"/>
      <c r="E23" s="44">
        <f t="shared" si="2"/>
        <v>0</v>
      </c>
      <c r="F23" s="171"/>
    </row>
    <row r="24" spans="1:6" x14ac:dyDescent="0.3">
      <c r="A24" s="50" t="s">
        <v>423</v>
      </c>
      <c r="B24" s="51" t="s">
        <v>474</v>
      </c>
      <c r="C24" s="43">
        <f>+'[2]C.30 mm'!$V$74</f>
        <v>7500</v>
      </c>
      <c r="D24" s="252"/>
      <c r="E24" s="44">
        <f t="shared" si="2"/>
        <v>0</v>
      </c>
      <c r="F24" s="171"/>
    </row>
    <row r="25" spans="1:6" x14ac:dyDescent="0.3">
      <c r="A25" s="50" t="s">
        <v>424</v>
      </c>
      <c r="B25" s="51" t="s">
        <v>474</v>
      </c>
      <c r="C25" s="43">
        <f>+'[2]C.30 mm'!$V$74</f>
        <v>7500</v>
      </c>
      <c r="D25" s="252"/>
      <c r="E25" s="44">
        <f t="shared" si="2"/>
        <v>0</v>
      </c>
      <c r="F25" s="171"/>
    </row>
    <row r="26" spans="1:6" x14ac:dyDescent="0.3">
      <c r="A26" s="50" t="s">
        <v>425</v>
      </c>
      <c r="B26" s="42" t="s">
        <v>162</v>
      </c>
      <c r="C26" s="56">
        <f>+'[4]C.30 mm'!$V$3</f>
        <v>5760</v>
      </c>
      <c r="D26" s="253"/>
      <c r="E26" s="57">
        <f t="shared" si="2"/>
        <v>0</v>
      </c>
      <c r="F26" s="171"/>
    </row>
    <row r="27" spans="1:6" ht="15.6" x14ac:dyDescent="0.3">
      <c r="A27" s="122" t="s">
        <v>10</v>
      </c>
      <c r="B27" s="46" t="s">
        <v>70</v>
      </c>
      <c r="C27" s="173"/>
      <c r="D27" s="72"/>
      <c r="E27" s="60"/>
      <c r="F27" s="172" t="s">
        <v>167</v>
      </c>
    </row>
    <row r="28" spans="1:6" x14ac:dyDescent="0.3">
      <c r="A28" s="303" t="s">
        <v>426</v>
      </c>
      <c r="B28" s="51" t="s">
        <v>159</v>
      </c>
      <c r="C28" s="52">
        <f>+'[2]C.30 mm'!$V$56</f>
        <v>6300</v>
      </c>
      <c r="D28" s="254"/>
      <c r="E28" s="53">
        <f t="shared" ref="E28:E34" si="3">+D28*C28</f>
        <v>0</v>
      </c>
      <c r="F28" s="171"/>
    </row>
    <row r="29" spans="1:6" x14ac:dyDescent="0.3">
      <c r="A29" s="50" t="s">
        <v>427</v>
      </c>
      <c r="B29" s="42" t="s">
        <v>159</v>
      </c>
      <c r="C29" s="43">
        <f>+'[2]C.30 mm'!$V$56</f>
        <v>6300</v>
      </c>
      <c r="D29" s="252"/>
      <c r="E29" s="44">
        <f t="shared" si="3"/>
        <v>0</v>
      </c>
      <c r="F29" s="171"/>
    </row>
    <row r="30" spans="1:6" x14ac:dyDescent="0.3">
      <c r="A30" s="50" t="s">
        <v>428</v>
      </c>
      <c r="B30" s="42" t="s">
        <v>160</v>
      </c>
      <c r="C30" s="43">
        <f>+'[2]C.30 mm'!$V$57</f>
        <v>6350</v>
      </c>
      <c r="D30" s="252"/>
      <c r="E30" s="44">
        <f t="shared" si="3"/>
        <v>0</v>
      </c>
      <c r="F30" s="171"/>
    </row>
    <row r="31" spans="1:6" x14ac:dyDescent="0.3">
      <c r="A31" s="50" t="s">
        <v>429</v>
      </c>
      <c r="B31" s="42" t="s">
        <v>160</v>
      </c>
      <c r="C31" s="43">
        <f>+'[2]C.30 mm'!$V$57</f>
        <v>6350</v>
      </c>
      <c r="D31" s="252"/>
      <c r="E31" s="44">
        <f t="shared" si="3"/>
        <v>0</v>
      </c>
      <c r="F31" s="171"/>
    </row>
    <row r="32" spans="1:6" x14ac:dyDescent="0.3">
      <c r="A32" s="50" t="s">
        <v>430</v>
      </c>
      <c r="B32" s="42" t="s">
        <v>160</v>
      </c>
      <c r="C32" s="43">
        <f>+'[2]C.30 mm'!$V$58</f>
        <v>6400</v>
      </c>
      <c r="D32" s="252"/>
      <c r="E32" s="44">
        <f t="shared" si="3"/>
        <v>0</v>
      </c>
      <c r="F32" s="171"/>
    </row>
    <row r="33" spans="1:6" x14ac:dyDescent="0.3">
      <c r="A33" s="50" t="s">
        <v>431</v>
      </c>
      <c r="B33" s="42" t="s">
        <v>161</v>
      </c>
      <c r="C33" s="43">
        <f>+'[2]C.30 mm'!$V$58</f>
        <v>6400</v>
      </c>
      <c r="D33" s="252"/>
      <c r="E33" s="44">
        <f t="shared" si="3"/>
        <v>0</v>
      </c>
      <c r="F33" s="171"/>
    </row>
    <row r="34" spans="1:6" x14ac:dyDescent="0.3">
      <c r="A34" s="50" t="s">
        <v>432</v>
      </c>
      <c r="B34" s="55" t="s">
        <v>162</v>
      </c>
      <c r="C34" s="56">
        <f>+'[4]C.30 mm'!$V$3</f>
        <v>5760</v>
      </c>
      <c r="D34" s="252"/>
      <c r="E34" s="57">
        <f t="shared" si="3"/>
        <v>0</v>
      </c>
      <c r="F34" s="171"/>
    </row>
    <row r="35" spans="1:6" ht="15.6" x14ac:dyDescent="0.3">
      <c r="A35" s="45" t="s">
        <v>10</v>
      </c>
      <c r="B35" s="46" t="s">
        <v>72</v>
      </c>
      <c r="C35" s="58"/>
      <c r="D35" s="72"/>
      <c r="E35" s="60"/>
      <c r="F35" s="172" t="s">
        <v>167</v>
      </c>
    </row>
    <row r="36" spans="1:6" x14ac:dyDescent="0.3">
      <c r="A36" s="303" t="s">
        <v>433</v>
      </c>
      <c r="B36" s="51" t="s">
        <v>163</v>
      </c>
      <c r="C36" s="52">
        <f>+'[2]C.30 mm'!$V$68</f>
        <v>6550</v>
      </c>
      <c r="D36" s="252"/>
      <c r="E36" s="53">
        <f t="shared" ref="E36:E42" si="4">+D36*C36</f>
        <v>0</v>
      </c>
      <c r="F36" s="171"/>
    </row>
    <row r="37" spans="1:6" x14ac:dyDescent="0.3">
      <c r="A37" s="50" t="s">
        <v>434</v>
      </c>
      <c r="B37" s="42" t="s">
        <v>163</v>
      </c>
      <c r="C37" s="43">
        <f>+'[2]C.30 mm'!$V$68</f>
        <v>6550</v>
      </c>
      <c r="D37" s="252"/>
      <c r="E37" s="44">
        <f t="shared" si="4"/>
        <v>0</v>
      </c>
      <c r="F37" s="171"/>
    </row>
    <row r="38" spans="1:6" x14ac:dyDescent="0.3">
      <c r="A38" s="50" t="s">
        <v>435</v>
      </c>
      <c r="B38" s="42" t="s">
        <v>163</v>
      </c>
      <c r="C38" s="43">
        <f>+'[2]C.30 mm'!$V$69</f>
        <v>6600</v>
      </c>
      <c r="D38" s="252"/>
      <c r="E38" s="44">
        <f t="shared" si="4"/>
        <v>0</v>
      </c>
      <c r="F38" s="171"/>
    </row>
    <row r="39" spans="1:6" x14ac:dyDescent="0.3">
      <c r="A39" s="50" t="s">
        <v>436</v>
      </c>
      <c r="B39" s="42" t="s">
        <v>163</v>
      </c>
      <c r="C39" s="43">
        <f>+'[2]C.30 mm'!$V$69</f>
        <v>6600</v>
      </c>
      <c r="D39" s="252"/>
      <c r="E39" s="44">
        <f t="shared" si="4"/>
        <v>0</v>
      </c>
      <c r="F39" s="171"/>
    </row>
    <row r="40" spans="1:6" x14ac:dyDescent="0.3">
      <c r="A40" s="50" t="s">
        <v>437</v>
      </c>
      <c r="B40" s="42" t="s">
        <v>163</v>
      </c>
      <c r="C40" s="43">
        <f>+'[2]C.30 mm'!$V$70</f>
        <v>6650</v>
      </c>
      <c r="D40" s="252"/>
      <c r="E40" s="44">
        <f t="shared" si="4"/>
        <v>0</v>
      </c>
      <c r="F40" s="171"/>
    </row>
    <row r="41" spans="1:6" x14ac:dyDescent="0.3">
      <c r="A41" s="50" t="s">
        <v>438</v>
      </c>
      <c r="B41" s="42" t="s">
        <v>163</v>
      </c>
      <c r="C41" s="43">
        <f>+'[2]C.30 mm'!$V$70</f>
        <v>6650</v>
      </c>
      <c r="D41" s="252"/>
      <c r="E41" s="44">
        <f t="shared" si="4"/>
        <v>0</v>
      </c>
      <c r="F41" s="171"/>
    </row>
    <row r="42" spans="1:6" x14ac:dyDescent="0.3">
      <c r="A42" s="50" t="s">
        <v>439</v>
      </c>
      <c r="B42" s="55" t="s">
        <v>162</v>
      </c>
      <c r="C42" s="56">
        <f>+'[4]C.30 mm'!$V$3</f>
        <v>5760</v>
      </c>
      <c r="D42" s="252"/>
      <c r="E42" s="57">
        <f t="shared" si="4"/>
        <v>0</v>
      </c>
      <c r="F42" s="171"/>
    </row>
    <row r="43" spans="1:6" ht="15.6" x14ac:dyDescent="0.3">
      <c r="A43" s="45" t="s">
        <v>10</v>
      </c>
      <c r="B43" s="46" t="s">
        <v>73</v>
      </c>
      <c r="C43" s="58"/>
      <c r="D43" s="72"/>
      <c r="E43" s="60"/>
      <c r="F43" s="172" t="s">
        <v>167</v>
      </c>
    </row>
    <row r="44" spans="1:6" x14ac:dyDescent="0.3">
      <c r="A44" s="303" t="s">
        <v>440</v>
      </c>
      <c r="B44" s="51" t="s">
        <v>477</v>
      </c>
      <c r="C44" s="52">
        <f>+'[2]C.30 mm'!$V$72</f>
        <v>7400</v>
      </c>
      <c r="D44" s="252"/>
      <c r="E44" s="53">
        <f t="shared" ref="E44:E50" si="5">+D44*C44</f>
        <v>0</v>
      </c>
      <c r="F44" s="171"/>
    </row>
    <row r="45" spans="1:6" x14ac:dyDescent="0.3">
      <c r="A45" s="50" t="s">
        <v>441</v>
      </c>
      <c r="B45" s="51" t="s">
        <v>477</v>
      </c>
      <c r="C45" s="43">
        <f>+'[2]C.30 mm'!$V$72</f>
        <v>7400</v>
      </c>
      <c r="D45" s="252"/>
      <c r="E45" s="44">
        <f t="shared" si="5"/>
        <v>0</v>
      </c>
      <c r="F45" s="171"/>
    </row>
    <row r="46" spans="1:6" x14ac:dyDescent="0.3">
      <c r="A46" s="50" t="s">
        <v>442</v>
      </c>
      <c r="B46" s="51" t="s">
        <v>477</v>
      </c>
      <c r="C46" s="43">
        <f>+'[2]C.30 mm'!$V$73</f>
        <v>7450</v>
      </c>
      <c r="D46" s="252"/>
      <c r="E46" s="44">
        <f t="shared" si="5"/>
        <v>0</v>
      </c>
      <c r="F46" s="171"/>
    </row>
    <row r="47" spans="1:6" x14ac:dyDescent="0.3">
      <c r="A47" s="50" t="s">
        <v>443</v>
      </c>
      <c r="B47" s="51" t="s">
        <v>477</v>
      </c>
      <c r="C47" s="43">
        <f>+'[2]C.30 mm'!$V$73</f>
        <v>7450</v>
      </c>
      <c r="D47" s="252"/>
      <c r="E47" s="44">
        <f t="shared" si="5"/>
        <v>0</v>
      </c>
      <c r="F47" s="171"/>
    </row>
    <row r="48" spans="1:6" x14ac:dyDescent="0.3">
      <c r="A48" s="50" t="s">
        <v>444</v>
      </c>
      <c r="B48" s="51" t="s">
        <v>477</v>
      </c>
      <c r="C48" s="43">
        <f>+'[2]C.30 mm'!$V$74</f>
        <v>7500</v>
      </c>
      <c r="D48" s="252"/>
      <c r="E48" s="44">
        <f t="shared" si="5"/>
        <v>0</v>
      </c>
      <c r="F48" s="171"/>
    </row>
    <row r="49" spans="1:6" x14ac:dyDescent="0.3">
      <c r="A49" s="50" t="s">
        <v>445</v>
      </c>
      <c r="B49" s="51" t="s">
        <v>477</v>
      </c>
      <c r="C49" s="43">
        <f>+'[2]C.30 mm'!$V$74</f>
        <v>7500</v>
      </c>
      <c r="D49" s="252"/>
      <c r="E49" s="44">
        <f t="shared" si="5"/>
        <v>0</v>
      </c>
      <c r="F49" s="171"/>
    </row>
    <row r="50" spans="1:6" x14ac:dyDescent="0.3">
      <c r="A50" s="50" t="s">
        <v>446</v>
      </c>
      <c r="B50" s="89" t="s">
        <v>165</v>
      </c>
      <c r="C50" s="56">
        <f>+'[4]C.30 mm'!$V$3</f>
        <v>5760</v>
      </c>
      <c r="D50" s="252"/>
      <c r="E50" s="57">
        <f t="shared" si="5"/>
        <v>0</v>
      </c>
      <c r="F50" s="171"/>
    </row>
    <row r="51" spans="1:6" ht="15.6" x14ac:dyDescent="0.3">
      <c r="A51" s="45" t="s">
        <v>10</v>
      </c>
      <c r="B51" s="46" t="s">
        <v>74</v>
      </c>
      <c r="C51" s="58"/>
      <c r="D51" s="72"/>
      <c r="E51" s="60"/>
      <c r="F51" s="172" t="s">
        <v>167</v>
      </c>
    </row>
    <row r="52" spans="1:6" x14ac:dyDescent="0.3">
      <c r="A52" s="303" t="s">
        <v>447</v>
      </c>
      <c r="B52" s="51" t="s">
        <v>478</v>
      </c>
      <c r="C52" s="52">
        <f>+'[2]C.30 mm'!$V$98</f>
        <v>8300</v>
      </c>
      <c r="D52" s="252"/>
      <c r="E52" s="53">
        <f t="shared" ref="E52:E58" si="6">+D52*C52</f>
        <v>0</v>
      </c>
      <c r="F52" s="171"/>
    </row>
    <row r="53" spans="1:6" x14ac:dyDescent="0.3">
      <c r="A53" s="50" t="s">
        <v>448</v>
      </c>
      <c r="B53" s="51" t="s">
        <v>478</v>
      </c>
      <c r="C53" s="43">
        <f>+'[2]C.30 mm'!$V$98</f>
        <v>8300</v>
      </c>
      <c r="D53" s="252"/>
      <c r="E53" s="44">
        <f t="shared" si="6"/>
        <v>0</v>
      </c>
      <c r="F53" s="171"/>
    </row>
    <row r="54" spans="1:6" x14ac:dyDescent="0.3">
      <c r="A54" s="50" t="s">
        <v>449</v>
      </c>
      <c r="B54" s="51" t="s">
        <v>478</v>
      </c>
      <c r="C54" s="43">
        <f>+'[2]C.30 mm'!$V$99</f>
        <v>8350</v>
      </c>
      <c r="D54" s="252"/>
      <c r="E54" s="44">
        <f t="shared" si="6"/>
        <v>0</v>
      </c>
      <c r="F54" s="171"/>
    </row>
    <row r="55" spans="1:6" x14ac:dyDescent="0.3">
      <c r="A55" s="50" t="s">
        <v>450</v>
      </c>
      <c r="B55" s="51" t="s">
        <v>478</v>
      </c>
      <c r="C55" s="43">
        <f>+'[2]C.30 mm'!$V$99</f>
        <v>8350</v>
      </c>
      <c r="D55" s="252"/>
      <c r="E55" s="44">
        <f t="shared" si="6"/>
        <v>0</v>
      </c>
      <c r="F55" s="171"/>
    </row>
    <row r="56" spans="1:6" x14ac:dyDescent="0.3">
      <c r="A56" s="50" t="s">
        <v>451</v>
      </c>
      <c r="B56" s="51" t="s">
        <v>478</v>
      </c>
      <c r="C56" s="43">
        <f>+'[2]C.30 mm'!$V$100</f>
        <v>8400</v>
      </c>
      <c r="D56" s="252"/>
      <c r="E56" s="44">
        <f t="shared" si="6"/>
        <v>0</v>
      </c>
      <c r="F56" s="171"/>
    </row>
    <row r="57" spans="1:6" x14ac:dyDescent="0.3">
      <c r="A57" s="50" t="s">
        <v>452</v>
      </c>
      <c r="B57" s="51" t="s">
        <v>478</v>
      </c>
      <c r="C57" s="43">
        <f>+'[2]C.30 mm'!$V$100</f>
        <v>8400</v>
      </c>
      <c r="D57" s="252"/>
      <c r="E57" s="44">
        <f t="shared" si="6"/>
        <v>0</v>
      </c>
      <c r="F57" s="171"/>
    </row>
    <row r="58" spans="1:6" x14ac:dyDescent="0.3">
      <c r="A58" s="50" t="s">
        <v>453</v>
      </c>
      <c r="B58" s="42" t="s">
        <v>162</v>
      </c>
      <c r="C58" s="43">
        <f>+'[4]C.30 mm'!$V$8</f>
        <v>6600</v>
      </c>
      <c r="D58" s="252"/>
      <c r="E58" s="44">
        <f t="shared" si="6"/>
        <v>0</v>
      </c>
      <c r="F58" s="171"/>
    </row>
    <row r="59" spans="1:6" ht="15.6" x14ac:dyDescent="0.3">
      <c r="A59" s="45" t="s">
        <v>10</v>
      </c>
      <c r="B59" s="46" t="s">
        <v>77</v>
      </c>
      <c r="C59" s="58"/>
      <c r="D59" s="72"/>
      <c r="E59" s="60"/>
      <c r="F59" s="172" t="s">
        <v>167</v>
      </c>
    </row>
    <row r="60" spans="1:6" x14ac:dyDescent="0.3">
      <c r="A60" s="303" t="s">
        <v>454</v>
      </c>
      <c r="B60" s="51" t="s">
        <v>479</v>
      </c>
      <c r="C60" s="52">
        <f>+'[2]C.30 mm'!$V$33</f>
        <v>5850</v>
      </c>
      <c r="D60" s="252"/>
      <c r="E60" s="53">
        <f t="shared" ref="E60:E66" si="7">+D60*C60</f>
        <v>0</v>
      </c>
      <c r="F60" s="54"/>
    </row>
    <row r="61" spans="1:6" x14ac:dyDescent="0.3">
      <c r="A61" s="50" t="s">
        <v>455</v>
      </c>
      <c r="B61" s="51" t="s">
        <v>479</v>
      </c>
      <c r="C61" s="43">
        <f>+'[2]C.30 mm'!$V$33</f>
        <v>5850</v>
      </c>
      <c r="D61" s="252"/>
      <c r="E61" s="44">
        <f t="shared" si="7"/>
        <v>0</v>
      </c>
      <c r="F61" s="54"/>
    </row>
    <row r="62" spans="1:6" x14ac:dyDescent="0.3">
      <c r="A62" s="50" t="s">
        <v>456</v>
      </c>
      <c r="B62" s="51" t="s">
        <v>479</v>
      </c>
      <c r="C62" s="43">
        <f>+'[2]C.30 mm'!$V$35</f>
        <v>5900</v>
      </c>
      <c r="D62" s="252"/>
      <c r="E62" s="44">
        <f t="shared" si="7"/>
        <v>0</v>
      </c>
      <c r="F62" s="54"/>
    </row>
    <row r="63" spans="1:6" x14ac:dyDescent="0.3">
      <c r="A63" s="50" t="s">
        <v>457</v>
      </c>
      <c r="B63" s="51" t="s">
        <v>479</v>
      </c>
      <c r="C63" s="43">
        <f>+'[2]C.30 mm'!$V$35</f>
        <v>5900</v>
      </c>
      <c r="D63" s="252"/>
      <c r="E63" s="44">
        <f t="shared" si="7"/>
        <v>0</v>
      </c>
      <c r="F63" s="54"/>
    </row>
    <row r="64" spans="1:6" x14ac:dyDescent="0.3">
      <c r="A64" s="50" t="s">
        <v>458</v>
      </c>
      <c r="B64" s="51" t="s">
        <v>479</v>
      </c>
      <c r="C64" s="43">
        <f>+'[2]C.30 mm'!$V$37</f>
        <v>5950</v>
      </c>
      <c r="D64" s="252"/>
      <c r="E64" s="44">
        <f t="shared" si="7"/>
        <v>0</v>
      </c>
      <c r="F64" s="54"/>
    </row>
    <row r="65" spans="1:6" x14ac:dyDescent="0.3">
      <c r="A65" s="50" t="s">
        <v>459</v>
      </c>
      <c r="B65" s="51" t="s">
        <v>479</v>
      </c>
      <c r="C65" s="43">
        <f>+'[2]C.30 mm'!$V$37</f>
        <v>5950</v>
      </c>
      <c r="D65" s="252"/>
      <c r="E65" s="44">
        <f t="shared" si="7"/>
        <v>0</v>
      </c>
      <c r="F65" s="54"/>
    </row>
    <row r="66" spans="1:6" x14ac:dyDescent="0.3">
      <c r="A66" s="50" t="s">
        <v>460</v>
      </c>
      <c r="B66" s="42" t="s">
        <v>164</v>
      </c>
      <c r="C66" s="56">
        <f>+'[4]C.30 mm'!$V$4</f>
        <v>6150</v>
      </c>
      <c r="D66" s="252"/>
      <c r="E66" s="57">
        <f t="shared" si="7"/>
        <v>0</v>
      </c>
      <c r="F66" s="54"/>
    </row>
    <row r="67" spans="1:6" ht="21.6" x14ac:dyDescent="0.3">
      <c r="A67" s="122" t="s">
        <v>10</v>
      </c>
      <c r="B67" s="46" t="s">
        <v>213</v>
      </c>
      <c r="C67" s="173"/>
      <c r="D67" s="72"/>
      <c r="E67" s="60"/>
      <c r="F67" s="134" t="s">
        <v>402</v>
      </c>
    </row>
    <row r="68" spans="1:6" x14ac:dyDescent="0.3">
      <c r="A68" s="303" t="s">
        <v>319</v>
      </c>
      <c r="B68" s="42" t="s">
        <v>168</v>
      </c>
      <c r="C68" s="43">
        <f>+'[2]Collar ajustable'!$U$66</f>
        <v>6800</v>
      </c>
      <c r="D68" s="252"/>
      <c r="E68" s="44">
        <f>+D68*C68</f>
        <v>0</v>
      </c>
      <c r="F68" s="54"/>
    </row>
    <row r="69" spans="1:6" ht="15" thickBot="1" x14ac:dyDescent="0.35">
      <c r="A69" s="304" t="s">
        <v>320</v>
      </c>
      <c r="B69" s="158" t="s">
        <v>78</v>
      </c>
      <c r="C69" s="92">
        <f>+'[2]Collar ajustable'!$U$64</f>
        <v>5800</v>
      </c>
      <c r="D69" s="252"/>
      <c r="E69" s="159">
        <f>+D69*C69</f>
        <v>0</v>
      </c>
      <c r="F69" s="160"/>
    </row>
    <row r="70" spans="1:6" ht="20.399999999999999" customHeight="1" thickBot="1" x14ac:dyDescent="0.35">
      <c r="A70" s="75" t="s">
        <v>111</v>
      </c>
      <c r="B70" s="76"/>
      <c r="C70" s="77" t="s">
        <v>182</v>
      </c>
      <c r="D70" s="78">
        <f>SUM(D4:D69)</f>
        <v>0</v>
      </c>
      <c r="E70" s="79">
        <f>SUM(E4:E69)</f>
        <v>0</v>
      </c>
      <c r="F70" s="174"/>
    </row>
    <row r="71" spans="1:6" ht="15" thickBot="1" x14ac:dyDescent="0.35">
      <c r="A71" s="80"/>
      <c r="B71" s="81"/>
      <c r="C71" s="80"/>
      <c r="D71" s="80"/>
      <c r="E71" s="80"/>
      <c r="F71" s="80"/>
    </row>
    <row r="72" spans="1:6" ht="25.35" customHeight="1" thickBot="1" x14ac:dyDescent="0.35">
      <c r="A72" s="406" t="s">
        <v>616</v>
      </c>
      <c r="B72" s="407"/>
      <c r="C72" s="407"/>
      <c r="D72" s="407"/>
      <c r="E72" s="407"/>
      <c r="F72" s="408"/>
    </row>
    <row r="73" spans="1:6" ht="19.95" customHeight="1" thickBot="1" x14ac:dyDescent="0.35">
      <c r="A73" s="36"/>
      <c r="B73" s="83"/>
      <c r="C73" s="38" t="s">
        <v>2</v>
      </c>
      <c r="D73" s="39" t="s">
        <v>4</v>
      </c>
      <c r="E73" s="40" t="s">
        <v>3</v>
      </c>
      <c r="F73" s="233" t="s">
        <v>8</v>
      </c>
    </row>
    <row r="74" spans="1:6" ht="15.6" x14ac:dyDescent="0.3">
      <c r="A74" s="45" t="s">
        <v>10</v>
      </c>
      <c r="B74" s="46" t="s">
        <v>202</v>
      </c>
      <c r="C74" s="58"/>
      <c r="D74" s="72"/>
      <c r="E74" s="60"/>
      <c r="F74" s="90" t="s">
        <v>171</v>
      </c>
    </row>
    <row r="75" spans="1:6" x14ac:dyDescent="0.3">
      <c r="A75" s="320" t="s">
        <v>624</v>
      </c>
      <c r="B75" s="87" t="s">
        <v>636</v>
      </c>
      <c r="C75" s="52">
        <f>+'[4]Pretal 30 mm'!$S$46+'[4]C.30 mm'!$V$4</f>
        <v>22650</v>
      </c>
      <c r="D75" s="252"/>
      <c r="E75" s="52">
        <f>+D75*C75</f>
        <v>0</v>
      </c>
      <c r="F75" s="8"/>
    </row>
    <row r="76" spans="1:6" x14ac:dyDescent="0.3">
      <c r="A76" s="337" t="s">
        <v>625</v>
      </c>
      <c r="B76" s="89" t="s">
        <v>181</v>
      </c>
      <c r="C76" s="56">
        <f>+'[4]C.30 mm'!$V$4</f>
        <v>6150</v>
      </c>
      <c r="D76" s="253"/>
      <c r="E76" s="333" t="s">
        <v>180</v>
      </c>
      <c r="F76" s="338"/>
    </row>
    <row r="77" spans="1:6" ht="15.6" x14ac:dyDescent="0.3">
      <c r="A77" s="300" t="s">
        <v>10</v>
      </c>
      <c r="B77" s="330" t="s">
        <v>199</v>
      </c>
      <c r="C77" s="331"/>
      <c r="D77" s="332"/>
      <c r="E77" s="331"/>
      <c r="F77" s="335" t="s">
        <v>177</v>
      </c>
    </row>
    <row r="78" spans="1:6" x14ac:dyDescent="0.3">
      <c r="A78" s="86" t="s">
        <v>512</v>
      </c>
      <c r="B78" s="87" t="s">
        <v>199</v>
      </c>
      <c r="C78" s="52"/>
      <c r="D78" s="252"/>
      <c r="E78" s="52">
        <f>+D78*C78</f>
        <v>0</v>
      </c>
      <c r="F78" s="8"/>
    </row>
    <row r="79" spans="1:6" x14ac:dyDescent="0.3">
      <c r="A79" s="50" t="s">
        <v>403</v>
      </c>
      <c r="B79" s="89" t="s">
        <v>176</v>
      </c>
      <c r="C79" s="56"/>
      <c r="D79" s="252"/>
      <c r="E79" s="56">
        <f>+D79*C79</f>
        <v>0</v>
      </c>
      <c r="F79" s="8"/>
    </row>
    <row r="80" spans="1:6" ht="20.399999999999999" x14ac:dyDescent="0.3">
      <c r="A80" s="45" t="s">
        <v>10</v>
      </c>
      <c r="B80" s="46" t="s">
        <v>200</v>
      </c>
      <c r="C80" s="58"/>
      <c r="D80" s="72"/>
      <c r="E80" s="60"/>
      <c r="F80" s="90" t="s">
        <v>178</v>
      </c>
    </row>
    <row r="81" spans="1:6" x14ac:dyDescent="0.3">
      <c r="A81" s="86" t="s">
        <v>512</v>
      </c>
      <c r="B81" s="88" t="s">
        <v>201</v>
      </c>
      <c r="C81" s="43"/>
      <c r="D81" s="252"/>
      <c r="E81" s="43">
        <f>+D81*C81</f>
        <v>0</v>
      </c>
      <c r="F81" s="8"/>
    </row>
    <row r="82" spans="1:6" ht="15" thickBot="1" x14ac:dyDescent="0.35">
      <c r="A82" s="120" t="s">
        <v>404</v>
      </c>
      <c r="B82" s="89" t="s">
        <v>179</v>
      </c>
      <c r="C82" s="56"/>
      <c r="D82" s="253"/>
      <c r="E82" s="56">
        <f>+D82*C82</f>
        <v>0</v>
      </c>
      <c r="F82" s="8"/>
    </row>
    <row r="83" spans="1:6" ht="22.5" customHeight="1" thickBot="1" x14ac:dyDescent="0.35">
      <c r="A83" s="93" t="s">
        <v>111</v>
      </c>
      <c r="B83" s="143"/>
      <c r="C83" s="181" t="s">
        <v>182</v>
      </c>
      <c r="D83" s="33">
        <f>SUM(D74:D76)</f>
        <v>0</v>
      </c>
      <c r="E83" s="182">
        <f>SUM(E74:E76)</f>
        <v>0</v>
      </c>
      <c r="F83" s="142"/>
    </row>
  </sheetData>
  <mergeCells count="2">
    <mergeCell ref="A72:F7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23"/>
  <sheetViews>
    <sheetView topLeftCell="A4" zoomScaleNormal="100" workbookViewId="0">
      <selection activeCell="C21" sqref="C21"/>
    </sheetView>
  </sheetViews>
  <sheetFormatPr baseColWidth="10" defaultRowHeight="14.4" x14ac:dyDescent="0.3"/>
  <cols>
    <col min="2" max="2" width="87.5546875" customWidth="1"/>
    <col min="3" max="3" width="10.88671875" customWidth="1"/>
    <col min="4" max="4" width="9.44140625" customWidth="1"/>
    <col min="5" max="5" width="17.6640625" customWidth="1"/>
    <col min="6" max="6" width="51.33203125" customWidth="1"/>
  </cols>
  <sheetData>
    <row r="1" spans="1:6" ht="23.25" customHeight="1" thickBot="1" x14ac:dyDescent="0.35">
      <c r="A1" s="401" t="s">
        <v>169</v>
      </c>
      <c r="B1" s="403"/>
      <c r="C1" s="409"/>
      <c r="D1" s="409"/>
      <c r="E1" s="409"/>
      <c r="F1" s="410"/>
    </row>
    <row r="2" spans="1:6" ht="25.2" customHeight="1" thickBot="1" x14ac:dyDescent="0.35">
      <c r="A2" s="305"/>
      <c r="B2" s="175" t="s">
        <v>172</v>
      </c>
      <c r="C2" s="13" t="s">
        <v>2</v>
      </c>
      <c r="D2" s="15" t="s">
        <v>4</v>
      </c>
      <c r="E2" s="16" t="s">
        <v>3</v>
      </c>
      <c r="F2" s="233" t="s">
        <v>8</v>
      </c>
    </row>
    <row r="3" spans="1:6" ht="15.6" x14ac:dyDescent="0.3">
      <c r="A3" s="176" t="s">
        <v>10</v>
      </c>
      <c r="B3" s="152" t="s">
        <v>170</v>
      </c>
      <c r="C3" s="151"/>
      <c r="D3" s="115"/>
      <c r="E3" s="125"/>
      <c r="F3" s="157" t="s">
        <v>171</v>
      </c>
    </row>
    <row r="4" spans="1:6" x14ac:dyDescent="0.3">
      <c r="A4" s="50" t="s">
        <v>308</v>
      </c>
      <c r="B4" s="177" t="s">
        <v>468</v>
      </c>
      <c r="C4" s="104">
        <f>+[2]Martingale!$V$5-200</f>
        <v>8100</v>
      </c>
      <c r="D4" s="248"/>
      <c r="E4" s="105">
        <f t="shared" ref="E4:E10" si="0">+D4*C4</f>
        <v>0</v>
      </c>
      <c r="F4" s="135"/>
    </row>
    <row r="5" spans="1:6" x14ac:dyDescent="0.3">
      <c r="A5" s="50" t="s">
        <v>309</v>
      </c>
      <c r="B5" s="177" t="s">
        <v>468</v>
      </c>
      <c r="C5" s="108">
        <f>+[2]Martingale!$V$5-150</f>
        <v>8150</v>
      </c>
      <c r="D5" s="249"/>
      <c r="E5" s="109">
        <f t="shared" si="0"/>
        <v>0</v>
      </c>
      <c r="F5" s="135"/>
    </row>
    <row r="6" spans="1:6" x14ac:dyDescent="0.3">
      <c r="A6" s="50" t="s">
        <v>310</v>
      </c>
      <c r="B6" s="177" t="s">
        <v>468</v>
      </c>
      <c r="C6" s="108">
        <f>+[2]Martingale!$V$5-100</f>
        <v>8200</v>
      </c>
      <c r="D6" s="249"/>
      <c r="E6" s="109">
        <f t="shared" si="0"/>
        <v>0</v>
      </c>
      <c r="F6" s="135"/>
    </row>
    <row r="7" spans="1:6" x14ac:dyDescent="0.3">
      <c r="A7" s="50" t="s">
        <v>311</v>
      </c>
      <c r="B7" s="177" t="s">
        <v>468</v>
      </c>
      <c r="C7" s="108">
        <f>+[2]Martingale!$V$5-50</f>
        <v>8250</v>
      </c>
      <c r="D7" s="249"/>
      <c r="E7" s="109">
        <f t="shared" si="0"/>
        <v>0</v>
      </c>
      <c r="F7" s="135"/>
    </row>
    <row r="8" spans="1:6" x14ac:dyDescent="0.3">
      <c r="A8" s="50" t="s">
        <v>312</v>
      </c>
      <c r="B8" s="177" t="s">
        <v>468</v>
      </c>
      <c r="C8" s="108">
        <f>+[2]Martingale!$V$5</f>
        <v>8300</v>
      </c>
      <c r="D8" s="249"/>
      <c r="E8" s="109">
        <f t="shared" si="0"/>
        <v>0</v>
      </c>
      <c r="F8" s="135"/>
    </row>
    <row r="9" spans="1:6" x14ac:dyDescent="0.3">
      <c r="A9" s="50" t="s">
        <v>313</v>
      </c>
      <c r="B9" s="119" t="s">
        <v>467</v>
      </c>
      <c r="C9" s="108">
        <f>+[4]Martingale!$V$49</f>
        <v>6900</v>
      </c>
      <c r="D9" s="249"/>
      <c r="E9" s="109">
        <f t="shared" si="0"/>
        <v>0</v>
      </c>
      <c r="F9" s="135"/>
    </row>
    <row r="10" spans="1:6" x14ac:dyDescent="0.3">
      <c r="A10" s="50" t="s">
        <v>314</v>
      </c>
      <c r="B10" s="121" t="s">
        <v>466</v>
      </c>
      <c r="C10" s="111">
        <f>+[4]Martingale!$V$47</f>
        <v>6500</v>
      </c>
      <c r="D10" s="250"/>
      <c r="E10" s="112">
        <f t="shared" si="0"/>
        <v>0</v>
      </c>
      <c r="F10" s="135"/>
    </row>
    <row r="11" spans="1:6" ht="15.6" x14ac:dyDescent="0.3">
      <c r="A11" s="178" t="s">
        <v>10</v>
      </c>
      <c r="B11" s="152" t="s">
        <v>552</v>
      </c>
      <c r="C11" s="151"/>
      <c r="D11" s="115"/>
      <c r="E11" s="125"/>
      <c r="F11" s="90" t="s">
        <v>171</v>
      </c>
    </row>
    <row r="12" spans="1:6" x14ac:dyDescent="0.3">
      <c r="A12" s="303" t="s">
        <v>315</v>
      </c>
      <c r="B12" s="179" t="s">
        <v>470</v>
      </c>
      <c r="C12" s="104">
        <f>+[2]Martingale!$V$19</f>
        <v>7200</v>
      </c>
      <c r="D12" s="248"/>
      <c r="E12" s="105">
        <f>+D12*C12</f>
        <v>0</v>
      </c>
      <c r="F12" s="135"/>
    </row>
    <row r="13" spans="1:6" x14ac:dyDescent="0.3">
      <c r="A13" s="50" t="s">
        <v>316</v>
      </c>
      <c r="B13" s="180" t="s">
        <v>469</v>
      </c>
      <c r="C13" s="108">
        <f>+[2]Martingale!$V$20</f>
        <v>7500</v>
      </c>
      <c r="D13" s="249"/>
      <c r="E13" s="109">
        <f>+D13*C13</f>
        <v>0</v>
      </c>
      <c r="F13" s="4"/>
    </row>
    <row r="14" spans="1:6" x14ac:dyDescent="0.3">
      <c r="A14" s="50" t="s">
        <v>317</v>
      </c>
      <c r="B14" s="119" t="s">
        <v>465</v>
      </c>
      <c r="C14" s="108">
        <f>+[4]Martingale!$V$49</f>
        <v>6900</v>
      </c>
      <c r="D14" s="249"/>
      <c r="E14" s="109">
        <f>+D14*C14</f>
        <v>0</v>
      </c>
      <c r="F14" s="135"/>
    </row>
    <row r="15" spans="1:6" ht="15" thickBot="1" x14ac:dyDescent="0.35">
      <c r="A15" s="91" t="s">
        <v>318</v>
      </c>
      <c r="B15" s="163" t="s">
        <v>466</v>
      </c>
      <c r="C15" s="111">
        <f>+[4]Martingale!$V$47</f>
        <v>6500</v>
      </c>
      <c r="D15" s="250"/>
      <c r="E15" s="112">
        <f>+D15*C15</f>
        <v>0</v>
      </c>
      <c r="F15" s="165"/>
    </row>
    <row r="16" spans="1:6" ht="20.399999999999999" customHeight="1" thickBot="1" x14ac:dyDescent="0.35">
      <c r="A16" s="75" t="s">
        <v>111</v>
      </c>
      <c r="B16" s="141"/>
      <c r="C16" s="181" t="s">
        <v>182</v>
      </c>
      <c r="D16" s="33">
        <f>SUM(D4:D15)</f>
        <v>0</v>
      </c>
      <c r="E16" s="182">
        <f>SUM(E4:E15)</f>
        <v>0</v>
      </c>
      <c r="F16" s="142"/>
    </row>
    <row r="17" spans="1:6" ht="15" thickBot="1" x14ac:dyDescent="0.35">
      <c r="A17" s="142"/>
      <c r="B17" s="142"/>
      <c r="C17" s="142"/>
      <c r="D17" s="142"/>
      <c r="E17" s="142"/>
      <c r="F17" s="142"/>
    </row>
    <row r="18" spans="1:6" ht="23.4" customHeight="1" thickBot="1" x14ac:dyDescent="0.35">
      <c r="A18" s="401" t="s">
        <v>614</v>
      </c>
      <c r="B18" s="403"/>
      <c r="C18" s="403"/>
      <c r="D18" s="403"/>
      <c r="E18" s="403"/>
      <c r="F18" s="229"/>
    </row>
    <row r="19" spans="1:6" ht="18" thickBot="1" x14ac:dyDescent="0.35">
      <c r="A19" s="36"/>
      <c r="B19" s="37"/>
      <c r="C19" s="38" t="s">
        <v>2</v>
      </c>
      <c r="D19" s="39" t="s">
        <v>4</v>
      </c>
      <c r="E19" s="40" t="s">
        <v>3</v>
      </c>
      <c r="F19" s="233" t="s">
        <v>8</v>
      </c>
    </row>
    <row r="20" spans="1:6" ht="15.6" x14ac:dyDescent="0.3">
      <c r="A20" s="45" t="s">
        <v>10</v>
      </c>
      <c r="B20" s="152" t="s">
        <v>613</v>
      </c>
      <c r="C20" s="151"/>
      <c r="D20" s="115"/>
      <c r="E20" s="116"/>
      <c r="F20" s="90" t="s">
        <v>171</v>
      </c>
    </row>
    <row r="21" spans="1:6" x14ac:dyDescent="0.3">
      <c r="A21" s="319" t="s">
        <v>626</v>
      </c>
      <c r="B21" s="103" t="s">
        <v>631</v>
      </c>
      <c r="C21" s="104">
        <f>+'[4]Pretal 30 mm'!$S$51+[4]Martingale!$V$47</f>
        <v>26300</v>
      </c>
      <c r="D21" s="248"/>
      <c r="E21" s="147">
        <f>+D21*C21</f>
        <v>0</v>
      </c>
      <c r="F21" s="5"/>
    </row>
    <row r="22" spans="1:6" ht="15" thickBot="1" x14ac:dyDescent="0.35">
      <c r="A22" s="339" t="s">
        <v>627</v>
      </c>
      <c r="B22" s="110" t="s">
        <v>181</v>
      </c>
      <c r="C22" s="111">
        <f>+[4]Martingale!$V$47</f>
        <v>6500</v>
      </c>
      <c r="D22" s="250"/>
      <c r="E22" s="333" t="s">
        <v>180</v>
      </c>
      <c r="F22" s="6"/>
    </row>
    <row r="23" spans="1:6" ht="16.2" thickBot="1" x14ac:dyDescent="0.35">
      <c r="A23" s="93" t="s">
        <v>111</v>
      </c>
      <c r="B23" s="143"/>
      <c r="C23" s="181" t="s">
        <v>182</v>
      </c>
      <c r="D23" s="33">
        <f>SUM(D21:D22)</f>
        <v>0</v>
      </c>
      <c r="E23" s="182">
        <f>SUM(E21:E22)</f>
        <v>0</v>
      </c>
      <c r="F23" s="142"/>
    </row>
  </sheetData>
  <mergeCells count="3">
    <mergeCell ref="A18:E18"/>
    <mergeCell ref="A1:B1"/>
    <mergeCell ref="C1:F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68D2"/>
  </sheetPr>
  <dimension ref="A1:F25"/>
  <sheetViews>
    <sheetView tabSelected="1" topLeftCell="A17" workbookViewId="0">
      <selection activeCell="D34" sqref="D34"/>
    </sheetView>
  </sheetViews>
  <sheetFormatPr baseColWidth="10" defaultRowHeight="14.4" x14ac:dyDescent="0.3"/>
  <cols>
    <col min="1" max="1" width="10.33203125" customWidth="1"/>
    <col min="2" max="2" width="80.88671875" customWidth="1"/>
    <col min="3" max="3" width="12.44140625" customWidth="1"/>
    <col min="5" max="5" width="17.6640625" customWidth="1"/>
    <col min="6" max="6" width="57.88671875" customWidth="1"/>
  </cols>
  <sheetData>
    <row r="1" spans="1:6" ht="23.25" customHeight="1" thickBot="1" x14ac:dyDescent="0.35">
      <c r="A1" s="401" t="s">
        <v>173</v>
      </c>
      <c r="B1" s="400"/>
      <c r="C1" s="400"/>
      <c r="D1" s="400"/>
      <c r="E1" s="400"/>
      <c r="F1" s="225"/>
    </row>
    <row r="2" spans="1:6" ht="29.4" customHeight="1" thickBot="1" x14ac:dyDescent="0.35">
      <c r="A2" s="305"/>
      <c r="B2" s="37" t="s">
        <v>172</v>
      </c>
      <c r="C2" s="38" t="s">
        <v>2</v>
      </c>
      <c r="D2" s="39" t="s">
        <v>4</v>
      </c>
      <c r="E2" s="40" t="s">
        <v>3</v>
      </c>
      <c r="F2" s="233" t="s">
        <v>8</v>
      </c>
    </row>
    <row r="3" spans="1:6" ht="15.6" x14ac:dyDescent="0.3">
      <c r="A3" s="84" t="s">
        <v>10</v>
      </c>
      <c r="B3" s="144" t="s">
        <v>174</v>
      </c>
      <c r="C3" s="145"/>
      <c r="D3" s="146"/>
      <c r="E3" s="183"/>
      <c r="F3" s="85" t="s">
        <v>171</v>
      </c>
    </row>
    <row r="4" spans="1:6" x14ac:dyDescent="0.3">
      <c r="A4" s="303" t="s">
        <v>296</v>
      </c>
      <c r="B4" s="184" t="s">
        <v>471</v>
      </c>
      <c r="C4" s="104">
        <f>+[2]Martingale!$V$7-50</f>
        <v>8650</v>
      </c>
      <c r="D4" s="248"/>
      <c r="E4" s="105">
        <f t="shared" ref="E4:E12" si="0">+D4*C4</f>
        <v>0</v>
      </c>
      <c r="F4" s="135"/>
    </row>
    <row r="5" spans="1:6" x14ac:dyDescent="0.3">
      <c r="A5" s="50" t="s">
        <v>295</v>
      </c>
      <c r="B5" s="184" t="s">
        <v>471</v>
      </c>
      <c r="C5" s="108">
        <f>+[2]Martingale!$V$7</f>
        <v>8700</v>
      </c>
      <c r="D5" s="249"/>
      <c r="E5" s="109">
        <f t="shared" si="0"/>
        <v>0</v>
      </c>
      <c r="F5" s="135"/>
    </row>
    <row r="6" spans="1:6" x14ac:dyDescent="0.3">
      <c r="A6" s="50" t="s">
        <v>297</v>
      </c>
      <c r="B6" s="184" t="s">
        <v>471</v>
      </c>
      <c r="C6" s="108">
        <f>+[2]Martingale!$V$8</f>
        <v>8750</v>
      </c>
      <c r="D6" s="249"/>
      <c r="E6" s="109">
        <f t="shared" si="0"/>
        <v>0</v>
      </c>
      <c r="F6" s="135"/>
    </row>
    <row r="7" spans="1:6" x14ac:dyDescent="0.3">
      <c r="A7" s="50" t="s">
        <v>298</v>
      </c>
      <c r="B7" s="184" t="s">
        <v>471</v>
      </c>
      <c r="C7" s="108">
        <f>+[2]Martingale!$V$9</f>
        <v>8800</v>
      </c>
      <c r="D7" s="249"/>
      <c r="E7" s="109">
        <f t="shared" si="0"/>
        <v>0</v>
      </c>
      <c r="F7" s="135"/>
    </row>
    <row r="8" spans="1:6" x14ac:dyDescent="0.3">
      <c r="A8" s="50" t="s">
        <v>299</v>
      </c>
      <c r="B8" s="184" t="s">
        <v>471</v>
      </c>
      <c r="C8" s="108">
        <f>+[2]Martingale!$V$10</f>
        <v>8850</v>
      </c>
      <c r="D8" s="249"/>
      <c r="E8" s="109">
        <f t="shared" si="0"/>
        <v>0</v>
      </c>
      <c r="F8" s="135"/>
    </row>
    <row r="9" spans="1:6" x14ac:dyDescent="0.3">
      <c r="A9" s="50" t="s">
        <v>300</v>
      </c>
      <c r="B9" s="184" t="s">
        <v>471</v>
      </c>
      <c r="C9" s="108">
        <f>+[2]Martingale!$V$11</f>
        <v>8900</v>
      </c>
      <c r="D9" s="249"/>
      <c r="E9" s="109">
        <f t="shared" si="0"/>
        <v>0</v>
      </c>
      <c r="F9" s="135"/>
    </row>
    <row r="10" spans="1:6" x14ac:dyDescent="0.3">
      <c r="A10" s="50" t="s">
        <v>301</v>
      </c>
      <c r="B10" s="184" t="s">
        <v>471</v>
      </c>
      <c r="C10" s="108">
        <f>+[2]Martingale!$V$12</f>
        <v>8950</v>
      </c>
      <c r="D10" s="249"/>
      <c r="E10" s="109">
        <f t="shared" si="0"/>
        <v>0</v>
      </c>
      <c r="F10" s="135"/>
    </row>
    <row r="11" spans="1:6" x14ac:dyDescent="0.3">
      <c r="A11" s="50" t="s">
        <v>302</v>
      </c>
      <c r="B11" s="107" t="s">
        <v>464</v>
      </c>
      <c r="C11" s="108">
        <f>+[4]Martingale!$V$52</f>
        <v>7400</v>
      </c>
      <c r="D11" s="249"/>
      <c r="E11" s="109">
        <f t="shared" si="0"/>
        <v>0</v>
      </c>
      <c r="F11" s="135"/>
    </row>
    <row r="12" spans="1:6" x14ac:dyDescent="0.3">
      <c r="A12" s="50" t="s">
        <v>303</v>
      </c>
      <c r="B12" s="110" t="s">
        <v>463</v>
      </c>
      <c r="C12" s="111">
        <f>+[4]Martingale!$V$53</f>
        <v>6600</v>
      </c>
      <c r="D12" s="250"/>
      <c r="E12" s="112">
        <f t="shared" si="0"/>
        <v>0</v>
      </c>
      <c r="F12" s="135"/>
    </row>
    <row r="13" spans="1:6" ht="15.6" x14ac:dyDescent="0.3">
      <c r="A13" s="45" t="s">
        <v>10</v>
      </c>
      <c r="B13" s="152" t="s">
        <v>553</v>
      </c>
      <c r="C13" s="151"/>
      <c r="D13" s="115"/>
      <c r="E13" s="125"/>
      <c r="F13" s="90" t="s">
        <v>171</v>
      </c>
    </row>
    <row r="14" spans="1:6" x14ac:dyDescent="0.3">
      <c r="A14" s="303" t="s">
        <v>304</v>
      </c>
      <c r="B14" s="184" t="s">
        <v>472</v>
      </c>
      <c r="C14" s="104">
        <f>+[2]Martingale!$V$35</f>
        <v>8150</v>
      </c>
      <c r="D14" s="248"/>
      <c r="E14" s="147">
        <f>+D14*C14</f>
        <v>0</v>
      </c>
      <c r="F14" s="185"/>
    </row>
    <row r="15" spans="1:6" x14ac:dyDescent="0.3">
      <c r="A15" s="50" t="s">
        <v>305</v>
      </c>
      <c r="B15" s="180" t="s">
        <v>473</v>
      </c>
      <c r="C15" s="108">
        <f>+[2]Martingale!$V$36</f>
        <v>8450</v>
      </c>
      <c r="D15" s="249"/>
      <c r="E15" s="109">
        <f>+D15*C15</f>
        <v>0</v>
      </c>
      <c r="F15" s="4"/>
    </row>
    <row r="16" spans="1:6" x14ac:dyDescent="0.3">
      <c r="A16" s="50" t="s">
        <v>306</v>
      </c>
      <c r="B16" s="119" t="s">
        <v>462</v>
      </c>
      <c r="C16" s="108">
        <f>+[4]Martingale!$V$52</f>
        <v>7400</v>
      </c>
      <c r="D16" s="249"/>
      <c r="E16" s="109">
        <f>+D16*C16</f>
        <v>0</v>
      </c>
      <c r="F16" s="135"/>
    </row>
    <row r="17" spans="1:6" ht="15" thickBot="1" x14ac:dyDescent="0.35">
      <c r="A17" s="91" t="s">
        <v>307</v>
      </c>
      <c r="B17" s="163" t="s">
        <v>463</v>
      </c>
      <c r="C17" s="155">
        <f>+[4]Martingale!$V$53</f>
        <v>6600</v>
      </c>
      <c r="D17" s="255"/>
      <c r="E17" s="164">
        <f>+D17*C17</f>
        <v>0</v>
      </c>
      <c r="F17" s="165"/>
    </row>
    <row r="18" spans="1:6" ht="20.25" customHeight="1" thickBot="1" x14ac:dyDescent="0.35">
      <c r="A18" s="75" t="s">
        <v>111</v>
      </c>
      <c r="B18" s="141"/>
      <c r="C18" s="77" t="s">
        <v>182</v>
      </c>
      <c r="D18" s="78">
        <f>SUM(D4:D17)</f>
        <v>0</v>
      </c>
      <c r="E18" s="79">
        <f>SUM(E4:E17)</f>
        <v>0</v>
      </c>
      <c r="F18" s="142"/>
    </row>
    <row r="19" spans="1:6" ht="15" thickBot="1" x14ac:dyDescent="0.35">
      <c r="A19" s="142"/>
      <c r="B19" s="142"/>
      <c r="C19" s="142"/>
      <c r="D19" s="142"/>
      <c r="E19" s="142"/>
      <c r="F19" s="142"/>
    </row>
    <row r="20" spans="1:6" ht="23.4" customHeight="1" thickBot="1" x14ac:dyDescent="0.35">
      <c r="A20" s="401" t="s">
        <v>615</v>
      </c>
      <c r="B20" s="403"/>
      <c r="C20" s="403"/>
      <c r="D20" s="403"/>
      <c r="E20" s="403"/>
      <c r="F20" s="229"/>
    </row>
    <row r="21" spans="1:6" ht="21.6" customHeight="1" thickBot="1" x14ac:dyDescent="0.35">
      <c r="A21" s="36"/>
      <c r="B21" s="37"/>
      <c r="C21" s="38" t="s">
        <v>2</v>
      </c>
      <c r="D21" s="39" t="s">
        <v>4</v>
      </c>
      <c r="E21" s="40" t="s">
        <v>3</v>
      </c>
      <c r="F21" s="233" t="s">
        <v>8</v>
      </c>
    </row>
    <row r="22" spans="1:6" ht="15.6" x14ac:dyDescent="0.3">
      <c r="A22" s="45" t="s">
        <v>10</v>
      </c>
      <c r="B22" s="152" t="s">
        <v>612</v>
      </c>
      <c r="C22" s="151"/>
      <c r="D22" s="115"/>
      <c r="E22" s="116"/>
      <c r="F22" s="90" t="s">
        <v>171</v>
      </c>
    </row>
    <row r="23" spans="1:6" x14ac:dyDescent="0.3">
      <c r="A23" s="319" t="s">
        <v>628</v>
      </c>
      <c r="B23" s="103" t="s">
        <v>630</v>
      </c>
      <c r="C23" s="104">
        <f>+'[4]Pretal 30 mm'!$S$59+[4]Martingale!$V$53</f>
        <v>29400</v>
      </c>
      <c r="D23" s="248"/>
      <c r="E23" s="147">
        <f>+D23*C23</f>
        <v>0</v>
      </c>
      <c r="F23" s="5"/>
    </row>
    <row r="24" spans="1:6" ht="15" thickBot="1" x14ac:dyDescent="0.35">
      <c r="A24" s="318" t="s">
        <v>629</v>
      </c>
      <c r="B24" s="154" t="s">
        <v>181</v>
      </c>
      <c r="C24" s="155">
        <f>+[4]Martingale!$V$53</f>
        <v>6600</v>
      </c>
      <c r="D24" s="255"/>
      <c r="E24" s="162" t="s">
        <v>180</v>
      </c>
      <c r="F24" s="6"/>
    </row>
    <row r="25" spans="1:6" ht="21.75" customHeight="1" thickBot="1" x14ac:dyDescent="0.35">
      <c r="A25" s="75" t="s">
        <v>111</v>
      </c>
      <c r="B25" s="141"/>
      <c r="C25" s="77" t="s">
        <v>182</v>
      </c>
      <c r="D25" s="78">
        <f>SUM(D23:D24)</f>
        <v>0</v>
      </c>
      <c r="E25" s="79">
        <f>SUM(E23:E24)</f>
        <v>0</v>
      </c>
      <c r="F25" s="142"/>
    </row>
  </sheetData>
  <mergeCells count="2">
    <mergeCell ref="A1:E1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 </vt:lpstr>
      <vt:lpstr>Presupuesto</vt:lpstr>
      <vt:lpstr>Gatos Ancho 10mm</vt:lpstr>
      <vt:lpstr>Perros Ancho 10mm</vt:lpstr>
      <vt:lpstr>Ancho 15mm</vt:lpstr>
      <vt:lpstr>Ancho 20mm</vt:lpstr>
      <vt:lpstr>Ancho 25mm</vt:lpstr>
      <vt:lpstr>Ancho 30mm</vt:lpstr>
      <vt:lpstr>Ancho 40mm</vt:lpstr>
      <vt:lpstr>Ancho 50mm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</dc:creator>
  <cp:lastModifiedBy>wawpets2025@hotmail.com</cp:lastModifiedBy>
  <cp:lastPrinted>2025-04-24T21:25:42Z</cp:lastPrinted>
  <dcterms:created xsi:type="dcterms:W3CDTF">2012-12-11T13:55:01Z</dcterms:created>
  <dcterms:modified xsi:type="dcterms:W3CDTF">2025-11-06T20:24:32Z</dcterms:modified>
</cp:coreProperties>
</file>